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e0-my.sharepoint.com/personal/gpou_ofiteco_com/Documents/Programas/Ajuste de observaciones OFITECO (TopoData)/2026-09-03 Compartido con Joan/"/>
    </mc:Choice>
  </mc:AlternateContent>
  <xr:revisionPtr revIDLastSave="32" documentId="8_{30B95D52-229F-4D75-8B4A-D95E2BAAF9B9}" xr6:coauthVersionLast="47" xr6:coauthVersionMax="47" xr10:uidLastSave="{7970DADC-98A8-4C59-B07B-F0C47938E92B}"/>
  <bookViews>
    <workbookView xWindow="28680" yWindow="-120" windowWidth="29040" windowHeight="15720" xr2:uid="{55901409-FE48-4B62-BED5-462D43EC8893}"/>
  </bookViews>
  <sheets>
    <sheet name="Cálculo Coord apro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9" i="1"/>
  <c r="H9" i="1"/>
  <c r="H10" i="1" l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I9" i="1"/>
  <c r="C3" i="1" l="1"/>
  <c r="K3" i="1" l="1"/>
  <c r="C4" i="1"/>
  <c r="K21" i="1" l="1"/>
  <c r="K11" i="1"/>
  <c r="J18" i="1"/>
  <c r="K18" i="1"/>
  <c r="K13" i="1"/>
  <c r="J13" i="1"/>
  <c r="K10" i="1"/>
  <c r="J10" i="1"/>
  <c r="J15" i="1"/>
  <c r="K15" i="1"/>
  <c r="J20" i="1"/>
  <c r="K20" i="1"/>
  <c r="J22" i="1"/>
  <c r="K22" i="1"/>
  <c r="K12" i="1"/>
  <c r="J12" i="1"/>
  <c r="K14" i="1"/>
  <c r="J14" i="1"/>
  <c r="K16" i="1"/>
  <c r="J16" i="1"/>
  <c r="J17" i="1"/>
  <c r="K17" i="1"/>
  <c r="J23" i="1"/>
  <c r="K23" i="1"/>
  <c r="J19" i="1"/>
  <c r="K19" i="1"/>
  <c r="J21" i="1" l="1"/>
  <c r="J11" i="1"/>
  <c r="K9" i="1"/>
  <c r="J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tc={55FB3767-EDA2-4B14-A126-C611E2B3E671}</author>
    <author>tc={A20A0E7F-452A-4B8E-852F-8DD8442801A3}</author>
    <author>tc={69CA57D1-862A-4C5C-9CAC-D1598213A680}</author>
    <author>tc={F47E7725-4A37-42C5-B59C-0F073F4EBC69}</author>
  </authors>
  <commentList>
    <comment ref="B3" authorId="0" shapeId="0" xr:uid="{55FB3767-EDA2-4B14-A126-C611E2B3E6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centesimales (gones) a ángulos radianes.</t>
      </text>
    </comment>
    <comment ref="A8" authorId="1" shapeId="0" xr:uid="{A20A0E7F-452A-4B8E-852F-8DD8442801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puntos de color rojo son referencias de las que ya se conocen sus coordenadas.  Solamente se calculan en este caso para corroborar que sus coordenadas son similares a las coordenadas de partida.</t>
      </text>
    </comment>
    <comment ref="E8" authorId="2" shapeId="0" xr:uid="{69CA57D1-862A-4C5C-9CAC-D1598213A6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 = instrumento. Altura de la estación total sobre el suelo. En auscultación casi siempre es 0.</t>
      </text>
    </comment>
    <comment ref="F8" authorId="3" shapeId="0" xr:uid="{F47E7725-4A37-42C5-B59C-0F073F4EB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 = mira. Altura del jalón, distancia desde el prisma hasta el suelo. En auscultación casi siempre es 0</t>
      </text>
    </comment>
  </commentList>
</comments>
</file>

<file path=xl/sharedStrings.xml><?xml version="1.0" encoding="utf-8"?>
<sst xmlns="http://schemas.openxmlformats.org/spreadsheetml/2006/main" count="36" uniqueCount="36">
  <si>
    <t>Punto Visado</t>
  </si>
  <si>
    <t>C55-R-01E-C</t>
  </si>
  <si>
    <t>C55-R-02E-C</t>
  </si>
  <si>
    <t>C56-058-014-20</t>
  </si>
  <si>
    <t>C56-058-024-10</t>
  </si>
  <si>
    <t>C56-058-024-20</t>
  </si>
  <si>
    <t>C56-058-024-22</t>
  </si>
  <si>
    <t>C56-058-027-20</t>
  </si>
  <si>
    <t>C56-059-003-20</t>
  </si>
  <si>
    <t>C56-059-003-22</t>
  </si>
  <si>
    <t>C56-059-003-24</t>
  </si>
  <si>
    <t>C56-059-009-20</t>
  </si>
  <si>
    <t>C56-059-009-22</t>
  </si>
  <si>
    <t>C56-059-009-24</t>
  </si>
  <si>
    <t>C56-R-01S</t>
  </si>
  <si>
    <t>C56-R-02S</t>
  </si>
  <si>
    <t>i (m)</t>
  </si>
  <si>
    <t>m (m)</t>
  </si>
  <si>
    <t>Ángulo Horizontal corregido por Bessel (gon)</t>
  </si>
  <si>
    <t>Ángulo Vertical corregido por Bessel (gon)</t>
  </si>
  <si>
    <t>gon_r (adimensional)</t>
  </si>
  <si>
    <t>Radio Tierra (m)</t>
  </si>
  <si>
    <t>Kt (coeficiente de refracción)</t>
  </si>
  <si>
    <t xml:space="preserve">                      Variables de cada proyecto</t>
  </si>
  <si>
    <t xml:space="preserve">           Constantes para toda la App</t>
  </si>
  <si>
    <r>
      <t>Distancia</t>
    </r>
    <r>
      <rPr>
        <b/>
        <sz val="11"/>
        <color theme="1"/>
        <rFont val="Aptos Narrow"/>
        <family val="2"/>
        <scheme val="minor"/>
      </rPr>
      <t xml:space="preserve"> geométrica</t>
    </r>
    <r>
      <rPr>
        <sz val="11"/>
        <color theme="1"/>
        <rFont val="Aptos Narrow"/>
        <family val="2"/>
        <scheme val="minor"/>
      </rPr>
      <t xml:space="preserve"> promediada CD y CI (m)</t>
    </r>
  </si>
  <si>
    <t>Acimut (gon)</t>
  </si>
  <si>
    <t>X (m)</t>
  </si>
  <si>
    <t>Y (m)</t>
  </si>
  <si>
    <t>Z (m)</t>
  </si>
  <si>
    <t>Acimut corregido (gon)</t>
  </si>
  <si>
    <t>Distancia UTM (m)</t>
  </si>
  <si>
    <t>Desorientación del estacioanmiento (ε) (gon)</t>
  </si>
  <si>
    <r>
      <t>X</t>
    </r>
    <r>
      <rPr>
        <vertAlign val="subscript"/>
        <sz val="14"/>
        <rFont val="Aptos Narrow"/>
        <family val="2"/>
        <scheme val="minor"/>
      </rPr>
      <t xml:space="preserve"> Estación total</t>
    </r>
  </si>
  <si>
    <r>
      <t>Y</t>
    </r>
    <r>
      <rPr>
        <vertAlign val="subscript"/>
        <sz val="14"/>
        <rFont val="Aptos Narrow"/>
        <family val="2"/>
        <scheme val="minor"/>
      </rPr>
      <t xml:space="preserve"> Estación total</t>
    </r>
  </si>
  <si>
    <r>
      <t>Z</t>
    </r>
    <r>
      <rPr>
        <vertAlign val="subscript"/>
        <sz val="14"/>
        <rFont val="Aptos Narrow"/>
        <family val="2"/>
        <scheme val="minor"/>
      </rPr>
      <t xml:space="preserve"> Estación 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</si>
</sst>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"/>
    <numFmt numFmtId="167" formatCode="0.000000"/>
    <numFmt numFmtId="168" formatCode="0.000000000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vertAlign val="subscript"/>
      <sz val="1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9ED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0" fillId="0" borderId="1" xfId="0" applyBorder="1" applyAlignment="1">
      <alignment wrapText="1"/>
    </xf>
    <xf numFmtId="167" fontId="0" fillId="0" borderId="0" xfId="0" applyNumberFormat="1"/>
    <xf numFmtId="0" fontId="0" fillId="0" borderId="2" xfId="0" applyBorder="1"/>
    <xf numFmtId="0" fontId="0" fillId="4" borderId="1" xfId="0" applyFill="1" applyBorder="1"/>
    <xf numFmtId="166" fontId="0" fillId="2" borderId="1" xfId="0" applyNumberFormat="1" applyFill="1" applyBorder="1"/>
    <xf numFmtId="1" fontId="0" fillId="2" borderId="1" xfId="0" applyNumberFormat="1" applyFill="1" applyBorder="1"/>
    <xf numFmtId="168" fontId="0" fillId="0" borderId="0" xfId="0" applyNumberFormat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22" fontId="0" fillId="0" borderId="7" xfId="0" applyNumberFormat="1" applyBorder="1"/>
    <xf numFmtId="0" fontId="0" fillId="5" borderId="10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/>
    <xf numFmtId="0" fontId="2" fillId="0" borderId="0" xfId="0" applyFont="1"/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4" fillId="5" borderId="9" xfId="0" applyFont="1" applyFill="1" applyBorder="1"/>
    <xf numFmtId="0" fontId="4" fillId="0" borderId="0" xfId="0" applyFont="1"/>
    <xf numFmtId="0" fontId="5" fillId="0" borderId="2" xfId="0" applyFont="1" applyBorder="1"/>
    <xf numFmtId="166" fontId="4" fillId="3" borderId="3" xfId="0" applyNumberFormat="1" applyFont="1" applyFill="1" applyBorder="1"/>
    <xf numFmtId="2" fontId="4" fillId="4" borderId="8" xfId="0" applyNumberFormat="1" applyFont="1" applyFill="1" applyBorder="1"/>
    <xf numFmtId="2" fontId="4" fillId="4" borderId="9" xfId="0" applyNumberFormat="1" applyFont="1" applyFill="1" applyBorder="1"/>
    <xf numFmtId="0" fontId="4" fillId="5" borderId="4" xfId="0" applyFont="1" applyFill="1" applyBorder="1"/>
    <xf numFmtId="0" fontId="5" fillId="0" borderId="5" xfId="0" applyFont="1" applyBorder="1"/>
    <xf numFmtId="166" fontId="4" fillId="3" borderId="6" xfId="0" applyNumberFormat="1" applyFont="1" applyFill="1" applyBorder="1"/>
    <xf numFmtId="167" fontId="4" fillId="0" borderId="0" xfId="0" applyNumberFormat="1" applyFont="1"/>
    <xf numFmtId="2" fontId="4" fillId="0" borderId="7" xfId="0" applyNumberFormat="1" applyFont="1" applyBorder="1"/>
    <xf numFmtId="2" fontId="4" fillId="4" borderId="4" xfId="0" applyNumberFormat="1" applyFont="1" applyFill="1" applyBorder="1"/>
    <xf numFmtId="0" fontId="4" fillId="5" borderId="3" xfId="0" applyFont="1" applyFill="1" applyBorder="1"/>
    <xf numFmtId="0" fontId="4" fillId="0" borderId="2" xfId="0" applyFont="1" applyBorder="1" applyAlignment="1">
      <alignment wrapText="1"/>
    </xf>
    <xf numFmtId="0" fontId="4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u Peña, Guillermo" id="{DB3B072B-77EB-4CBB-B34A-191E50B9A364}" userId="S::gpou@ofiteco.com::b6e8f51f-6c67-42f8-935b-adeb13ebe17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2-02T22:35:32.43" personId="{DB3B072B-77EB-4CBB-B34A-191E50B9A364}" id="{55FB3767-EDA2-4B14-A126-C611E2B3E671}">
    <text>Pasa de ángulos centesimales (gones) a ángulos radianes.</text>
  </threadedComment>
  <threadedComment ref="A8" dT="2026-02-04T23:06:24.71" personId="{DB3B072B-77EB-4CBB-B34A-191E50B9A364}" id="{A20A0E7F-452A-4B8E-852F-8DD8442801A3}">
    <text>Los puntos de color rojo son referencias de las que ya se conocen sus coordenadas.  Solamente se calculan en este caso para corroborar que sus coordenadas son similares a las coordenadas de partida.</text>
  </threadedComment>
  <threadedComment ref="E8" dT="2026-02-02T21:51:32.37" personId="{DB3B072B-77EB-4CBB-B34A-191E50B9A364}" id="{69CA57D1-862A-4C5C-9CAC-D1598213A680}">
    <text>i = instrumento. Altura de la estación total sobre el suelo. En auscultación casi siempre es 0.</text>
  </threadedComment>
  <threadedComment ref="F8" dT="2026-02-02T21:52:39.42" personId="{DB3B072B-77EB-4CBB-B34A-191E50B9A364}" id="{F47E7725-4A37-42C5-B59C-0F073F4EBC69}">
    <text>m = mira. Altura del jalón, distancia desde el prisma hasta el suelo. En auscultación casi siempre es 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A1:P24"/>
  <sheetViews>
    <sheetView tabSelected="1" zoomScale="85" zoomScaleNormal="85" workbookViewId="0">
      <selection activeCell="J9" sqref="J9"/>
    </sheetView>
  </sheetViews>
  <sheetFormatPr baseColWidth="10" defaultRowHeight="14.4" x14ac:dyDescent="0.3"/>
  <cols>
    <col min="1" max="1" width="14.6640625" bestFit="1" customWidth="1"/>
    <col min="2" max="2" width="29.21875" bestFit="1" customWidth="1"/>
    <col min="3" max="3" width="13.6640625" bestFit="1" customWidth="1"/>
    <col min="4" max="4" width="13.44140625" bestFit="1" customWidth="1"/>
    <col min="5" max="5" width="4" customWidth="1"/>
    <col min="6" max="6" width="3.88671875" bestFit="1" customWidth="1"/>
    <col min="7" max="7" width="12.44140625" bestFit="1" customWidth="1"/>
    <col min="8" max="8" width="14" bestFit="1" customWidth="1"/>
    <col min="9" max="9" width="13.21875" bestFit="1" customWidth="1"/>
    <col min="10" max="10" width="26" customWidth="1"/>
    <col min="11" max="11" width="11.109375" customWidth="1"/>
    <col min="12" max="12" width="7.6640625" bestFit="1" customWidth="1"/>
    <col min="13" max="13" width="22.88671875" bestFit="1" customWidth="1"/>
    <col min="14" max="14" width="12.44140625" bestFit="1" customWidth="1"/>
    <col min="15" max="15" width="11.88671875" bestFit="1" customWidth="1"/>
    <col min="16" max="16" width="6.6640625" bestFit="1" customWidth="1"/>
    <col min="17" max="17" width="20.5546875" customWidth="1"/>
    <col min="18" max="18" width="22.6640625" customWidth="1"/>
    <col min="19" max="19" width="21.5546875" customWidth="1"/>
    <col min="20" max="20" width="22.5546875" customWidth="1"/>
    <col min="21" max="22" width="21.77734375" customWidth="1"/>
    <col min="23" max="23" width="20.77734375" customWidth="1"/>
    <col min="25" max="25" width="12.5546875" customWidth="1"/>
    <col min="26" max="26" width="13.5546875" customWidth="1"/>
    <col min="27" max="27" width="14.21875" customWidth="1"/>
    <col min="44" max="44" width="19.33203125" customWidth="1"/>
    <col min="48" max="48" width="19.88671875" customWidth="1"/>
  </cols>
  <sheetData>
    <row r="1" spans="1:16" ht="15" thickBot="1" x14ac:dyDescent="0.35"/>
    <row r="2" spans="1:16" ht="21" thickBot="1" x14ac:dyDescent="0.5">
      <c r="B2" s="13" t="s">
        <v>24</v>
      </c>
      <c r="C2" s="23"/>
      <c r="D2" s="24"/>
      <c r="E2" s="24"/>
      <c r="F2" s="24"/>
      <c r="G2" s="25" t="s">
        <v>33</v>
      </c>
      <c r="H2" s="26">
        <v>428254.86437999998</v>
      </c>
      <c r="I2" s="24"/>
      <c r="J2" s="27" t="s">
        <v>23</v>
      </c>
      <c r="K2" s="28"/>
    </row>
    <row r="3" spans="1:16" ht="20.399999999999999" x14ac:dyDescent="0.45">
      <c r="B3" s="12" t="s">
        <v>20</v>
      </c>
      <c r="C3" s="29">
        <f>PI()/200</f>
        <v>1.5707963267948967E-2</v>
      </c>
      <c r="D3" s="24"/>
      <c r="E3" s="24"/>
      <c r="F3" s="24"/>
      <c r="G3" s="30" t="s">
        <v>34</v>
      </c>
      <c r="H3" s="31">
        <v>4584084.2900099996</v>
      </c>
      <c r="I3" s="32"/>
      <c r="J3" s="33" t="s">
        <v>22</v>
      </c>
      <c r="K3" s="34">
        <f>0.13</f>
        <v>0.13</v>
      </c>
      <c r="P3" s="16"/>
    </row>
    <row r="4" spans="1:16" ht="20.399999999999999" x14ac:dyDescent="0.45">
      <c r="B4" s="5" t="s">
        <v>21</v>
      </c>
      <c r="C4" s="35">
        <f>6378000</f>
        <v>6378000</v>
      </c>
      <c r="D4" s="24"/>
      <c r="E4" s="24"/>
      <c r="F4" s="24"/>
      <c r="G4" s="25" t="s">
        <v>35</v>
      </c>
      <c r="H4" s="26">
        <v>49.898617372443816</v>
      </c>
      <c r="I4" s="32"/>
      <c r="J4" s="24"/>
      <c r="K4" s="24"/>
    </row>
    <row r="5" spans="1:16" ht="37.799999999999997" customHeight="1" x14ac:dyDescent="0.3">
      <c r="B5" s="2"/>
      <c r="C5" s="24"/>
      <c r="D5" s="24"/>
      <c r="E5" s="24"/>
      <c r="F5" s="24"/>
      <c r="G5" s="24"/>
      <c r="H5" s="24"/>
      <c r="I5" s="32"/>
      <c r="J5" s="36" t="s">
        <v>32</v>
      </c>
      <c r="K5" s="37">
        <v>235.33841324540853</v>
      </c>
    </row>
    <row r="6" spans="1:16" x14ac:dyDescent="0.3">
      <c r="B6" s="2"/>
      <c r="I6" s="4"/>
      <c r="J6" s="9"/>
    </row>
    <row r="8" spans="1:16" s="1" customFormat="1" ht="57.6" x14ac:dyDescent="0.3">
      <c r="A8" s="3" t="s">
        <v>0</v>
      </c>
      <c r="B8" s="3" t="s">
        <v>18</v>
      </c>
      <c r="C8" s="3" t="s">
        <v>19</v>
      </c>
      <c r="D8" s="3" t="s">
        <v>25</v>
      </c>
      <c r="E8" s="3" t="s">
        <v>16</v>
      </c>
      <c r="F8" s="3" t="s">
        <v>17</v>
      </c>
      <c r="G8" s="17" t="s">
        <v>31</v>
      </c>
      <c r="H8" s="17" t="s">
        <v>26</v>
      </c>
      <c r="I8" s="17" t="s">
        <v>30</v>
      </c>
      <c r="J8" s="17" t="s">
        <v>27</v>
      </c>
      <c r="K8" s="17" t="s">
        <v>28</v>
      </c>
      <c r="L8" s="17" t="s">
        <v>29</v>
      </c>
    </row>
    <row r="9" spans="1:16" x14ac:dyDescent="0.3">
      <c r="A9" s="15" t="s">
        <v>1</v>
      </c>
      <c r="B9" s="7">
        <v>116.2512</v>
      </c>
      <c r="C9" s="7">
        <v>103.5723</v>
      </c>
      <c r="D9" s="7">
        <v>115.7645</v>
      </c>
      <c r="E9" s="8">
        <v>0</v>
      </c>
      <c r="F9" s="8">
        <v>0</v>
      </c>
      <c r="G9" s="18">
        <v>115.60126363058662</v>
      </c>
      <c r="H9" s="11">
        <f t="shared" ref="H9:H23" si="0">B9+$K$5</f>
        <v>351.58961324540854</v>
      </c>
      <c r="I9" s="10">
        <f>IF(H9&gt;400,H9-400,H9)</f>
        <v>351.58961324540854</v>
      </c>
      <c r="J9" s="18">
        <f>$H$2+G9*SIN(I9*$C$3)</f>
        <v>428175.18828641786</v>
      </c>
      <c r="K9" s="19">
        <f>$H$3+G9*COS(I9*$C$3)</f>
        <v>4584168.0478291241</v>
      </c>
      <c r="L9" s="19">
        <f>D9*COS(C9*$C$3)+(0.5-$K$3)*D9^2/$C$4+$H$4+E9-F9</f>
        <v>43.406845391716821</v>
      </c>
    </row>
    <row r="10" spans="1:16" x14ac:dyDescent="0.3">
      <c r="A10" s="15" t="s">
        <v>2</v>
      </c>
      <c r="B10" s="7">
        <v>115.4362</v>
      </c>
      <c r="C10" s="7">
        <v>103.1571</v>
      </c>
      <c r="D10" s="7">
        <v>125.0616</v>
      </c>
      <c r="E10" s="8">
        <v>0</v>
      </c>
      <c r="F10" s="8">
        <v>0</v>
      </c>
      <c r="G10" s="18">
        <v>124.70328234417218</v>
      </c>
      <c r="H10" s="11">
        <f t="shared" si="0"/>
        <v>350.77461324540855</v>
      </c>
      <c r="I10" s="10">
        <f t="shared" ref="I10:I23" si="1">IF(H10&gt;400,H10-400,H10)</f>
        <v>350.77461324540855</v>
      </c>
      <c r="J10" s="18">
        <f t="shared" ref="J10:J23" si="2">$H$2+G10*SIN(I10*$C$3)</f>
        <v>428167.76526514214</v>
      </c>
      <c r="K10" s="19">
        <f t="shared" ref="K10:K23" si="3">$H$3+G10*COS(I10*$C$3)</f>
        <v>4584173.5349135986</v>
      </c>
      <c r="L10" s="19">
        <f t="shared" ref="L10:L23" si="4">D10*COS(C10*$C$3)+(0.5-$K$3)*D10^2/$C$4+$H$4+E10-F10</f>
        <v>43.700060320050525</v>
      </c>
    </row>
    <row r="11" spans="1:16" x14ac:dyDescent="0.3">
      <c r="A11" s="6" t="s">
        <v>3</v>
      </c>
      <c r="B11" s="7">
        <v>91.066599999999994</v>
      </c>
      <c r="C11" s="7">
        <v>115.3586</v>
      </c>
      <c r="D11" s="7">
        <v>90.028099999999995</v>
      </c>
      <c r="E11" s="8">
        <v>0</v>
      </c>
      <c r="F11" s="8">
        <v>0</v>
      </c>
      <c r="G11" s="20">
        <v>89.589531999985098</v>
      </c>
      <c r="H11" s="11">
        <f t="shared" si="0"/>
        <v>326.40501324540855</v>
      </c>
      <c r="I11" s="10">
        <f t="shared" si="1"/>
        <v>326.40501324540855</v>
      </c>
      <c r="J11" s="20">
        <f t="shared" si="2"/>
        <v>428172.87119443098</v>
      </c>
      <c r="K11" s="21">
        <f t="shared" si="3"/>
        <v>4584120.3926659161</v>
      </c>
      <c r="L11" s="22">
        <f t="shared" si="4"/>
        <v>28.38967562424763</v>
      </c>
    </row>
    <row r="12" spans="1:16" x14ac:dyDescent="0.3">
      <c r="A12" s="6" t="s">
        <v>4</v>
      </c>
      <c r="B12" s="7">
        <v>83.5685</v>
      </c>
      <c r="C12" s="7">
        <v>107.8728</v>
      </c>
      <c r="D12" s="7">
        <v>134.33699999999999</v>
      </c>
      <c r="E12" s="8">
        <v>0</v>
      </c>
      <c r="F12" s="8">
        <v>0</v>
      </c>
      <c r="G12" s="20">
        <v>134.79927907015622</v>
      </c>
      <c r="H12" s="11">
        <f t="shared" si="0"/>
        <v>318.90691324540853</v>
      </c>
      <c r="I12" s="10">
        <f t="shared" si="1"/>
        <v>318.90691324540853</v>
      </c>
      <c r="J12" s="20">
        <f t="shared" si="2"/>
        <v>428125.96635190753</v>
      </c>
      <c r="K12" s="21">
        <f t="shared" si="3"/>
        <v>4584123.7380009713</v>
      </c>
      <c r="L12" s="22">
        <f t="shared" si="4"/>
        <v>33.329103038039214</v>
      </c>
    </row>
    <row r="13" spans="1:16" x14ac:dyDescent="0.3">
      <c r="A13" s="6" t="s">
        <v>5</v>
      </c>
      <c r="B13" s="7">
        <v>83.555899999999994</v>
      </c>
      <c r="C13" s="7">
        <v>106.364</v>
      </c>
      <c r="D13" s="7">
        <v>133.96770000000001</v>
      </c>
      <c r="E13" s="8">
        <v>0</v>
      </c>
      <c r="F13" s="8">
        <v>0</v>
      </c>
      <c r="G13" s="20">
        <v>134.20245688167122</v>
      </c>
      <c r="H13" s="11">
        <f t="shared" si="0"/>
        <v>318.89431324540851</v>
      </c>
      <c r="I13" s="10">
        <f t="shared" si="1"/>
        <v>318.89431324540851</v>
      </c>
      <c r="J13" s="20">
        <f t="shared" si="2"/>
        <v>428126.52927589993</v>
      </c>
      <c r="K13" s="21">
        <f t="shared" si="3"/>
        <v>4584123.5379461069</v>
      </c>
      <c r="L13" s="22">
        <f t="shared" si="4"/>
        <v>36.529807025360689</v>
      </c>
    </row>
    <row r="14" spans="1:16" x14ac:dyDescent="0.3">
      <c r="A14" s="6" t="s">
        <v>6</v>
      </c>
      <c r="B14" s="7">
        <v>79.4773</v>
      </c>
      <c r="C14" s="7">
        <v>106.504</v>
      </c>
      <c r="D14" s="7">
        <v>131.2029</v>
      </c>
      <c r="E14" s="8">
        <v>0</v>
      </c>
      <c r="F14" s="8">
        <v>0</v>
      </c>
      <c r="G14" s="20">
        <v>131.46584516397263</v>
      </c>
      <c r="H14" s="11">
        <f t="shared" si="0"/>
        <v>314.81571324540852</v>
      </c>
      <c r="I14" s="10">
        <f t="shared" si="1"/>
        <v>314.81571324540852</v>
      </c>
      <c r="J14" s="20">
        <f t="shared" si="2"/>
        <v>428126.94264158426</v>
      </c>
      <c r="K14" s="21">
        <f t="shared" si="3"/>
        <v>4584114.6099256556</v>
      </c>
      <c r="L14" s="22">
        <f t="shared" si="4"/>
        <v>36.518631057190227</v>
      </c>
    </row>
    <row r="15" spans="1:16" x14ac:dyDescent="0.3">
      <c r="A15" s="6" t="s">
        <v>7</v>
      </c>
      <c r="B15" s="7">
        <v>88.729100000000003</v>
      </c>
      <c r="C15" s="7">
        <v>108.64749999999999</v>
      </c>
      <c r="D15" s="7">
        <v>113.5566</v>
      </c>
      <c r="E15" s="8">
        <v>0</v>
      </c>
      <c r="F15" s="8">
        <v>0</v>
      </c>
      <c r="G15" s="20">
        <v>113.9480727664087</v>
      </c>
      <c r="H15" s="11">
        <f t="shared" si="0"/>
        <v>324.06751324540852</v>
      </c>
      <c r="I15" s="10">
        <f t="shared" si="1"/>
        <v>324.06751324540852</v>
      </c>
      <c r="J15" s="20">
        <f t="shared" si="2"/>
        <v>428148.96268559381</v>
      </c>
      <c r="K15" s="21">
        <f t="shared" si="3"/>
        <v>4584126.3494252246</v>
      </c>
      <c r="L15" s="22">
        <f t="shared" si="4"/>
        <v>34.521839256275129</v>
      </c>
    </row>
    <row r="16" spans="1:16" x14ac:dyDescent="0.3">
      <c r="A16" s="6" t="s">
        <v>8</v>
      </c>
      <c r="B16" s="7">
        <v>132.33430000000001</v>
      </c>
      <c r="C16" s="7">
        <v>106.3989</v>
      </c>
      <c r="D16" s="7">
        <v>72.105500000000006</v>
      </c>
      <c r="E16" s="8">
        <v>0</v>
      </c>
      <c r="F16" s="8">
        <v>0</v>
      </c>
      <c r="G16" s="20">
        <v>72.195805607268227</v>
      </c>
      <c r="H16" s="11">
        <f t="shared" si="0"/>
        <v>367.67271324540854</v>
      </c>
      <c r="I16" s="10">
        <f t="shared" si="1"/>
        <v>367.67271324540854</v>
      </c>
      <c r="J16" s="20">
        <f t="shared" si="2"/>
        <v>428219.75899713166</v>
      </c>
      <c r="K16" s="21">
        <f t="shared" si="3"/>
        <v>4584147.3760341331</v>
      </c>
      <c r="L16" s="22">
        <f t="shared" si="4"/>
        <v>42.663526962159139</v>
      </c>
    </row>
    <row r="17" spans="1:12" x14ac:dyDescent="0.3">
      <c r="A17" s="6" t="s">
        <v>9</v>
      </c>
      <c r="B17" s="7">
        <v>147.1884</v>
      </c>
      <c r="C17" s="7">
        <v>110.56959999999999</v>
      </c>
      <c r="D17" s="7">
        <v>55.2986</v>
      </c>
      <c r="E17" s="8">
        <v>0</v>
      </c>
      <c r="F17" s="8">
        <v>0</v>
      </c>
      <c r="G17" s="20">
        <v>55.10461993495278</v>
      </c>
      <c r="H17" s="11">
        <f t="shared" si="0"/>
        <v>382.52681324540856</v>
      </c>
      <c r="I17" s="10">
        <f t="shared" si="1"/>
        <v>382.52681324540856</v>
      </c>
      <c r="J17" s="20">
        <f t="shared" si="2"/>
        <v>428239.9290961682</v>
      </c>
      <c r="K17" s="21">
        <f t="shared" si="3"/>
        <v>4584137.3320351783</v>
      </c>
      <c r="L17" s="22">
        <f t="shared" si="4"/>
        <v>40.759861358350548</v>
      </c>
    </row>
    <row r="18" spans="1:12" x14ac:dyDescent="0.3">
      <c r="A18" s="6" t="s">
        <v>10</v>
      </c>
      <c r="B18" s="7">
        <v>163.37260000000001</v>
      </c>
      <c r="C18" s="7">
        <v>112.4131</v>
      </c>
      <c r="D18" s="7">
        <v>47.034999999999997</v>
      </c>
      <c r="E18" s="8">
        <v>0</v>
      </c>
      <c r="F18" s="8">
        <v>0</v>
      </c>
      <c r="G18" s="20">
        <v>46.648707176680617</v>
      </c>
      <c r="H18" s="11">
        <f t="shared" si="0"/>
        <v>398.71101324540854</v>
      </c>
      <c r="I18" s="10">
        <f t="shared" si="1"/>
        <v>398.71101324540854</v>
      </c>
      <c r="J18" s="20">
        <f t="shared" si="2"/>
        <v>428253.91993152449</v>
      </c>
      <c r="K18" s="21">
        <f t="shared" si="3"/>
        <v>4584130.9291555574</v>
      </c>
      <c r="L18" s="22">
        <f t="shared" si="4"/>
        <v>40.785651096868108</v>
      </c>
    </row>
    <row r="19" spans="1:12" x14ac:dyDescent="0.3">
      <c r="A19" s="6" t="s">
        <v>11</v>
      </c>
      <c r="B19" s="7">
        <v>230.18459999999999</v>
      </c>
      <c r="C19" s="7">
        <v>100.69119999999999</v>
      </c>
      <c r="D19" s="7">
        <v>20.991700000000002</v>
      </c>
      <c r="E19" s="8">
        <v>0</v>
      </c>
      <c r="F19" s="8">
        <v>0</v>
      </c>
      <c r="G19" s="20">
        <v>20.983994592101688</v>
      </c>
      <c r="H19" s="11">
        <f t="shared" si="0"/>
        <v>465.52301324540849</v>
      </c>
      <c r="I19" s="10">
        <f t="shared" si="1"/>
        <v>65.523013245408492</v>
      </c>
      <c r="J19" s="20">
        <f t="shared" si="2"/>
        <v>428272.84564711736</v>
      </c>
      <c r="K19" s="21">
        <f t="shared" si="3"/>
        <v>4584095.1067591365</v>
      </c>
      <c r="L19" s="22">
        <f t="shared" si="4"/>
        <v>49.670733300809076</v>
      </c>
    </row>
    <row r="20" spans="1:12" x14ac:dyDescent="0.3">
      <c r="A20" s="6" t="s">
        <v>12</v>
      </c>
      <c r="B20" s="7">
        <v>253.76410000000001</v>
      </c>
      <c r="C20" s="7">
        <v>94.912999999999997</v>
      </c>
      <c r="D20" s="7">
        <v>22.1433</v>
      </c>
      <c r="E20" s="8">
        <v>0</v>
      </c>
      <c r="F20" s="8">
        <v>0</v>
      </c>
      <c r="G20" s="20">
        <v>22.004931168881868</v>
      </c>
      <c r="H20" s="11">
        <f t="shared" si="0"/>
        <v>489.10251324540855</v>
      </c>
      <c r="I20" s="10">
        <f t="shared" si="1"/>
        <v>89.102513245408545</v>
      </c>
      <c r="J20" s="20">
        <f t="shared" si="2"/>
        <v>428276.54770694027</v>
      </c>
      <c r="K20" s="21">
        <f t="shared" si="3"/>
        <v>4584088.0383867882</v>
      </c>
      <c r="L20" s="22">
        <f t="shared" si="4"/>
        <v>51.666155070176366</v>
      </c>
    </row>
    <row r="21" spans="1:12" x14ac:dyDescent="0.3">
      <c r="A21" s="6" t="s">
        <v>13</v>
      </c>
      <c r="B21" s="7">
        <v>322.29259999999999</v>
      </c>
      <c r="C21" s="7">
        <v>101.777</v>
      </c>
      <c r="D21" s="7">
        <v>8.0930999999999997</v>
      </c>
      <c r="E21" s="8">
        <v>0</v>
      </c>
      <c r="F21" s="8">
        <v>0</v>
      </c>
      <c r="G21" s="20">
        <v>8.0893232406480227</v>
      </c>
      <c r="H21" s="11">
        <f t="shared" si="0"/>
        <v>557.63101324540855</v>
      </c>
      <c r="I21" s="10">
        <f t="shared" si="1"/>
        <v>157.63101324540855</v>
      </c>
      <c r="J21" s="20">
        <f t="shared" si="2"/>
        <v>428259.85934696568</v>
      </c>
      <c r="K21" s="21">
        <f t="shared" si="3"/>
        <v>4584077.9270346342</v>
      </c>
      <c r="L21" s="22">
        <f t="shared" si="4"/>
        <v>49.67274739510593</v>
      </c>
    </row>
    <row r="22" spans="1:12" x14ac:dyDescent="0.3">
      <c r="A22" s="15" t="s">
        <v>14</v>
      </c>
      <c r="B22" s="7">
        <v>350.68889999999999</v>
      </c>
      <c r="C22" s="7">
        <v>107.58969999999999</v>
      </c>
      <c r="D22" s="7">
        <v>65.210400000000007</v>
      </c>
      <c r="E22" s="8">
        <v>0</v>
      </c>
      <c r="F22" s="8">
        <v>0</v>
      </c>
      <c r="G22" s="18">
        <v>65.243313361180157</v>
      </c>
      <c r="H22" s="11">
        <f t="shared" si="0"/>
        <v>586.02731324540855</v>
      </c>
      <c r="I22" s="10">
        <f t="shared" si="1"/>
        <v>186.02731324540855</v>
      </c>
      <c r="J22" s="18">
        <f t="shared" si="2"/>
        <v>428269.06944898295</v>
      </c>
      <c r="K22" s="19">
        <f t="shared" si="3"/>
        <v>4584020.6118665477</v>
      </c>
      <c r="L22" s="19">
        <f t="shared" si="4"/>
        <v>42.142966145260395</v>
      </c>
    </row>
    <row r="23" spans="1:12" x14ac:dyDescent="0.3">
      <c r="A23" s="15" t="s">
        <v>15</v>
      </c>
      <c r="B23" s="7">
        <v>352.26929999999999</v>
      </c>
      <c r="C23" s="7">
        <v>108.2854</v>
      </c>
      <c r="D23" s="7">
        <v>59.686900000000001</v>
      </c>
      <c r="E23" s="8">
        <v>0</v>
      </c>
      <c r="F23" s="8">
        <v>0</v>
      </c>
      <c r="G23" s="18">
        <v>59.660810452833118</v>
      </c>
      <c r="H23" s="11">
        <f t="shared" si="0"/>
        <v>587.60771324540849</v>
      </c>
      <c r="I23" s="10">
        <f t="shared" si="1"/>
        <v>187.60771324540849</v>
      </c>
      <c r="J23" s="18">
        <f t="shared" si="2"/>
        <v>428266.40460626187</v>
      </c>
      <c r="K23" s="19">
        <f t="shared" si="3"/>
        <v>4584025.7559559653</v>
      </c>
      <c r="L23" s="19">
        <f t="shared" si="4"/>
        <v>42.152678350495911</v>
      </c>
    </row>
    <row r="24" spans="1:12" x14ac:dyDescent="0.3">
      <c r="B24" s="2"/>
      <c r="G24" s="14"/>
    </row>
  </sheetData>
  <phoneticPr fontId="1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Coord aprox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2026-09-03T19:07:26Z</dcterms:modified>
</cp:coreProperties>
</file>