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ou\NAS\_DePaso\Ajustes topografía\Problema 03 Ajuste conjunto de 2 estacionamientos\"/>
    </mc:Choice>
  </mc:AlternateContent>
  <xr:revisionPtr revIDLastSave="0" documentId="13_ncr:1_{A974DA54-1B15-4A2C-8A79-CC0F5E908AC4}" xr6:coauthVersionLast="47" xr6:coauthVersionMax="47" xr10:uidLastSave="{00000000-0000-0000-0000-000000000000}"/>
  <bookViews>
    <workbookView xWindow="-108" yWindow="-108" windowWidth="23256" windowHeight="12456" xr2:uid="{55901409-FE48-4B62-BED5-462D43EC8893}"/>
  </bookViews>
  <sheets>
    <sheet name="Cálculo Coord apro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L10" i="1" l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9" i="1"/>
  <c r="M9" i="1" s="1"/>
  <c r="C3" i="1" l="1"/>
  <c r="K3" i="1" l="1"/>
  <c r="C4" i="1"/>
  <c r="P9" i="1" l="1"/>
  <c r="P20" i="1"/>
  <c r="P10" i="1"/>
  <c r="P16" i="1"/>
  <c r="P14" i="1"/>
  <c r="P22" i="1"/>
  <c r="P17" i="1"/>
  <c r="P13" i="1"/>
  <c r="P19" i="1"/>
  <c r="P12" i="1"/>
  <c r="P23" i="1"/>
  <c r="P18" i="1"/>
  <c r="P15" i="1"/>
  <c r="P21" i="1"/>
  <c r="G17" i="1"/>
  <c r="H17" i="1" s="1"/>
  <c r="I17" i="1" s="1"/>
  <c r="J17" i="1" s="1"/>
  <c r="K17" i="1" s="1"/>
  <c r="G10" i="1"/>
  <c r="H10" i="1" s="1"/>
  <c r="I10" i="1" s="1"/>
  <c r="J10" i="1" s="1"/>
  <c r="K10" i="1" s="1"/>
  <c r="G18" i="1"/>
  <c r="H18" i="1" s="1"/>
  <c r="I18" i="1" s="1"/>
  <c r="J18" i="1" s="1"/>
  <c r="K18" i="1" s="1"/>
  <c r="G11" i="1"/>
  <c r="H11" i="1" s="1"/>
  <c r="G19" i="1"/>
  <c r="G12" i="1"/>
  <c r="G20" i="1"/>
  <c r="G21" i="1"/>
  <c r="G13" i="1"/>
  <c r="H13" i="1" s="1"/>
  <c r="I13" i="1" s="1"/>
  <c r="J13" i="1" s="1"/>
  <c r="K13" i="1" s="1"/>
  <c r="G14" i="1"/>
  <c r="H14" i="1" s="1"/>
  <c r="I14" i="1" s="1"/>
  <c r="J14" i="1" s="1"/>
  <c r="K14" i="1" s="1"/>
  <c r="G22" i="1"/>
  <c r="H22" i="1" s="1"/>
  <c r="I22" i="1" s="1"/>
  <c r="J22" i="1" s="1"/>
  <c r="K22" i="1" s="1"/>
  <c r="G15" i="1"/>
  <c r="H15" i="1" s="1"/>
  <c r="I15" i="1" s="1"/>
  <c r="J15" i="1" s="1"/>
  <c r="K15" i="1" s="1"/>
  <c r="G23" i="1"/>
  <c r="G16" i="1"/>
  <c r="G9" i="1"/>
  <c r="P11" i="1"/>
  <c r="H19" i="1"/>
  <c r="I19" i="1" s="1"/>
  <c r="J19" i="1" s="1"/>
  <c r="K19" i="1" s="1"/>
  <c r="H12" i="1"/>
  <c r="I12" i="1" s="1"/>
  <c r="J12" i="1" s="1"/>
  <c r="K12" i="1" s="1"/>
  <c r="H23" i="1"/>
  <c r="I23" i="1" s="1"/>
  <c r="J23" i="1" s="1"/>
  <c r="K23" i="1" s="1"/>
  <c r="H20" i="1"/>
  <c r="I20" i="1" s="1"/>
  <c r="J20" i="1" s="1"/>
  <c r="K20" i="1" s="1"/>
  <c r="H21" i="1"/>
  <c r="H16" i="1"/>
  <c r="I16" i="1" s="1"/>
  <c r="J16" i="1" s="1"/>
  <c r="K16" i="1" s="1"/>
  <c r="I21" i="1" l="1"/>
  <c r="J21" i="1" s="1"/>
  <c r="K21" i="1" s="1"/>
  <c r="O21" i="1" s="1"/>
  <c r="I11" i="1"/>
  <c r="J11" i="1" s="1"/>
  <c r="K11" i="1" s="1"/>
  <c r="O11" i="1" s="1"/>
  <c r="H9" i="1"/>
  <c r="I9" i="1" s="1"/>
  <c r="J9" i="1" s="1"/>
  <c r="K9" i="1" s="1"/>
  <c r="N18" i="1"/>
  <c r="O18" i="1"/>
  <c r="O13" i="1"/>
  <c r="N13" i="1"/>
  <c r="O10" i="1"/>
  <c r="N10" i="1"/>
  <c r="N15" i="1"/>
  <c r="O15" i="1"/>
  <c r="N20" i="1"/>
  <c r="O20" i="1"/>
  <c r="N22" i="1"/>
  <c r="O22" i="1"/>
  <c r="O12" i="1"/>
  <c r="N12" i="1"/>
  <c r="O14" i="1"/>
  <c r="N14" i="1"/>
  <c r="O16" i="1"/>
  <c r="N16" i="1"/>
  <c r="N17" i="1"/>
  <c r="O17" i="1"/>
  <c r="N23" i="1"/>
  <c r="O23" i="1"/>
  <c r="N19" i="1"/>
  <c r="O19" i="1"/>
  <c r="N21" i="1" l="1"/>
  <c r="N11" i="1"/>
  <c r="O9" i="1"/>
  <c r="N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tc={55FB3767-EDA2-4B14-A126-C611E2B3E671}</author>
    <author>tc={4D2B1557-3618-43C4-A9AD-F281C549ED09}</author>
    <author>tc={A20A0E7F-452A-4B8E-852F-8DD8442801A3}</author>
    <author>tc={69CA57D1-862A-4C5C-9CAC-D1598213A680}</author>
    <author>tc={F47E7725-4A37-42C5-B59C-0F073F4EBC69}</author>
  </authors>
  <commentList>
    <comment ref="B3" authorId="0" shapeId="0" xr:uid="{55FB3767-EDA2-4B14-A126-C611E2B3E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centesimales (gones) a ángulos radianes.</t>
      </text>
    </comment>
    <comment ref="B5" authorId="1" shapeId="0" xr:uid="{4D2B1557-3618-43C4-A9AD-F281C549ED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radianes a segundos de ángulos centesimales (cc).</t>
      </text>
    </comment>
    <comment ref="A8" authorId="2" shapeId="0" xr:uid="{A20A0E7F-452A-4B8E-852F-8DD8442801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puntos de color rojo son referencias de las que ya se conocen sus coordenadas.  Solamente se calculan en este caso para corroborar que sus coordenadas son similares a las coordenadas de partida.</t>
      </text>
    </comment>
    <comment ref="E8" authorId="3" shapeId="0" xr:uid="{69CA57D1-862A-4C5C-9CAC-D1598213A6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 = instrumento. Altura de la estación total sobre el suelo. En auscultación casi siempre es 0.</t>
      </text>
    </comment>
    <comment ref="F8" authorId="4" shapeId="0" xr:uid="{F47E7725-4A37-42C5-B59C-0F073F4EB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 = mira. Altura del jalón, distancia desde el prisma hasta el suelo. En auscultación casi siempre es 0</t>
      </text>
    </comment>
  </commentList>
</comments>
</file>

<file path=xl/sharedStrings.xml><?xml version="1.0" encoding="utf-8"?>
<sst xmlns="http://schemas.openxmlformats.org/spreadsheetml/2006/main" count="42" uniqueCount="42">
  <si>
    <t>Punto Visado</t>
  </si>
  <si>
    <t>C55-R-01E-C</t>
  </si>
  <si>
    <t>C55-R-02E-C</t>
  </si>
  <si>
    <t>C56-058-014-20</t>
  </si>
  <si>
    <t>C56-058-024-10</t>
  </si>
  <si>
    <t>C56-058-024-20</t>
  </si>
  <si>
    <t>C56-058-024-22</t>
  </si>
  <si>
    <t>C56-058-027-20</t>
  </si>
  <si>
    <t>C56-059-003-20</t>
  </si>
  <si>
    <t>C56-059-003-22</t>
  </si>
  <si>
    <t>C56-059-003-24</t>
  </si>
  <si>
    <t>C56-059-009-20</t>
  </si>
  <si>
    <t>C56-059-009-22</t>
  </si>
  <si>
    <t>C56-059-009-24</t>
  </si>
  <si>
    <t>C56-R-01S</t>
  </si>
  <si>
    <t>C56-R-02S</t>
  </si>
  <si>
    <t>i (m)</t>
  </si>
  <si>
    <t>m (m)</t>
  </si>
  <si>
    <t>Ángulo Horizontal corregido por Bessel (gon)</t>
  </si>
  <si>
    <t>Ángulo Vertical corregido por Bessel (gon)</t>
  </si>
  <si>
    <t>gon_r (adimensional)</t>
  </si>
  <si>
    <t>Radio Tierra (m)</t>
  </si>
  <si>
    <r>
      <t>X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</si>
  <si>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r>
      <t>Y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</si>
  <si>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r>
      <t xml:space="preserve">K </t>
    </r>
    <r>
      <rPr>
        <vertAlign val="subscript"/>
        <sz val="14"/>
        <color theme="1"/>
        <rFont val="Aptos Narrow"/>
        <family val="2"/>
        <scheme val="minor"/>
      </rPr>
      <t>UTM</t>
    </r>
  </si>
  <si>
    <t>Kt (coeficiente de refracción)</t>
  </si>
  <si>
    <t xml:space="preserve">                      Variables de cada proyecto</t>
  </si>
  <si>
    <t xml:space="preserve">           Constantes para toda la App</t>
  </si>
  <si>
    <r>
      <t>Distancia</t>
    </r>
    <r>
      <rPr>
        <b/>
        <sz val="11"/>
        <color theme="1"/>
        <rFont val="Aptos Narrow"/>
        <family val="2"/>
        <scheme val="minor"/>
      </rPr>
      <t xml:space="preserve"> geométrica</t>
    </r>
    <r>
      <rPr>
        <sz val="11"/>
        <color theme="1"/>
        <rFont val="Aptos Narrow"/>
        <family val="2"/>
        <scheme val="minor"/>
      </rPr>
      <t xml:space="preserve"> promediada CD y CI (m)</t>
    </r>
  </si>
  <si>
    <r>
      <t>Z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</si>
  <si>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t>r_cc (adimensional)</t>
  </si>
  <si>
    <t>w (cc)</t>
  </si>
  <si>
    <t>r (cc)</t>
  </si>
  <si>
    <t>Distancia reducida al horizonte de la estación (m)</t>
  </si>
  <si>
    <t>Distancia reducida a la cuerda del elipsoide (m)</t>
  </si>
  <si>
    <t>Acimut (gon)</t>
  </si>
  <si>
    <t>X (m)</t>
  </si>
  <si>
    <t>Y (m)</t>
  </si>
  <si>
    <t>Z (m)</t>
  </si>
  <si>
    <t>Acimut corregido (gon)</t>
  </si>
  <si>
    <t>Distancia UTM (m)</t>
  </si>
  <si>
    <t>Desorientación del estacioanmiento (ε) (gon)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</si>
</sst>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"/>
    <numFmt numFmtId="167" formatCode="0.000000"/>
    <numFmt numFmtId="168" formatCode="0.00000000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9ED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0" fillId="0" borderId="1" xfId="0" applyBorder="1" applyAlignment="1">
      <alignment wrapText="1"/>
    </xf>
    <xf numFmtId="167" fontId="0" fillId="0" borderId="0" xfId="0" applyNumberFormat="1"/>
    <xf numFmtId="0" fontId="0" fillId="0" borderId="2" xfId="0" applyBorder="1"/>
    <xf numFmtId="0" fontId="0" fillId="4" borderId="1" xfId="0" applyFill="1" applyBorder="1"/>
    <xf numFmtId="166" fontId="0" fillId="2" borderId="1" xfId="0" applyNumberFormat="1" applyFill="1" applyBorder="1"/>
    <xf numFmtId="1" fontId="0" fillId="2" borderId="1" xfId="0" applyNumberFormat="1" applyFill="1" applyBorder="1"/>
    <xf numFmtId="0" fontId="0" fillId="0" borderId="2" xfId="0" applyBorder="1" applyAlignment="1">
      <alignment wrapText="1"/>
    </xf>
    <xf numFmtId="0" fontId="0" fillId="5" borderId="3" xfId="0" applyFill="1" applyBorder="1"/>
    <xf numFmtId="168" fontId="0" fillId="0" borderId="0" xfId="0" applyNumberFormat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2" fillId="0" borderId="2" xfId="0" applyFont="1" applyBorder="1"/>
    <xf numFmtId="166" fontId="0" fillId="3" borderId="3" xfId="0" applyNumberFormat="1" applyFill="1" applyBorder="1"/>
    <xf numFmtId="0" fontId="2" fillId="0" borderId="5" xfId="0" applyFont="1" applyBorder="1"/>
    <xf numFmtId="166" fontId="0" fillId="3" borderId="6" xfId="0" applyNumberFormat="1" applyFill="1" applyBorder="1"/>
    <xf numFmtId="0" fontId="0" fillId="3" borderId="3" xfId="0" applyFill="1" applyBorder="1"/>
    <xf numFmtId="2" fontId="0" fillId="4" borderId="4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2" fontId="0" fillId="0" borderId="7" xfId="0" applyNumberFormat="1" applyBorder="1"/>
    <xf numFmtId="0" fontId="0" fillId="5" borderId="4" xfId="0" applyFill="1" applyBorder="1"/>
    <xf numFmtId="0" fontId="0" fillId="5" borderId="10" xfId="0" applyFill="1" applyBorder="1"/>
    <xf numFmtId="0" fontId="0" fillId="5" borderId="9" xfId="0" applyFill="1" applyBorder="1"/>
    <xf numFmtId="2" fontId="0" fillId="0" borderId="7" xfId="0" applyNumberFormat="1" applyBorder="1"/>
    <xf numFmtId="0" fontId="0" fillId="0" borderId="0" xfId="0" applyAlignment="1">
      <alignment horizontal="center"/>
    </xf>
    <xf numFmtId="0" fontId="4" fillId="4" borderId="1" xfId="0" applyFont="1" applyFill="1" applyBorder="1"/>
    <xf numFmtId="0" fontId="0" fillId="5" borderId="0" xfId="0" applyFill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2-02T22:35:32.43" personId="{DB3B072B-77EB-4CBB-B34A-191E50B9A364}" id="{55FB3767-EDA2-4B14-A126-C611E2B3E671}">
    <text>Pasa de ángulos centesimales (gones) a ángulos radianes.</text>
  </threadedComment>
  <threadedComment ref="B5" dT="2026-02-02T22:35:32.43" personId="{DB3B072B-77EB-4CBB-B34A-191E50B9A364}" id="{4D2B1557-3618-43C4-A9AD-F281C549ED09}">
    <text>Pasa de ángulos radianes a segundos de ángulos centesimales (cc).</text>
  </threadedComment>
  <threadedComment ref="A8" dT="2026-02-04T23:06:24.71" personId="{DB3B072B-77EB-4CBB-B34A-191E50B9A364}" id="{A20A0E7F-452A-4B8E-852F-8DD8442801A3}">
    <text>Los puntos de color rojo son referencias de las que ya se conocen sus coordenadas.  Solamente se calculan en este caso para corroborar que sus coordenadas son similares a las coordenadas de partida.</text>
  </threadedComment>
  <threadedComment ref="E8" dT="2026-02-02T21:51:32.37" personId="{DB3B072B-77EB-4CBB-B34A-191E50B9A364}" id="{69CA57D1-862A-4C5C-9CAC-D1598213A680}">
    <text>i = instrumento. Altura de la estación total sobre el suelo. En auscultación casi siempre es 0.</text>
  </threadedComment>
  <threadedComment ref="F8" dT="2026-02-02T21:52:39.42" personId="{DB3B072B-77EB-4CBB-B34A-191E50B9A364}" id="{F47E7725-4A37-42C5-B59C-0F073F4EBC69}">
    <text>m = mira. Altura del jalón, distancia desde el prisma hasta el suelo. En auscultación casi siempre es 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1:P24"/>
  <sheetViews>
    <sheetView tabSelected="1" zoomScale="85" zoomScaleNormal="85" workbookViewId="0">
      <selection activeCell="O5" sqref="O5"/>
    </sheetView>
  </sheetViews>
  <sheetFormatPr baseColWidth="10" defaultRowHeight="14.4" x14ac:dyDescent="0.3"/>
  <cols>
    <col min="1" max="1" width="14.6640625" bestFit="1" customWidth="1"/>
    <col min="2" max="2" width="29.21875" bestFit="1" customWidth="1"/>
    <col min="3" max="3" width="13.6640625" bestFit="1" customWidth="1"/>
    <col min="4" max="4" width="13.44140625" bestFit="1" customWidth="1"/>
    <col min="5" max="5" width="4" customWidth="1"/>
    <col min="6" max="6" width="3.88671875" bestFit="1" customWidth="1"/>
    <col min="7" max="7" width="12.44140625" bestFit="1" customWidth="1"/>
    <col min="8" max="8" width="14" bestFit="1" customWidth="1"/>
    <col min="9" max="9" width="13.21875" bestFit="1" customWidth="1"/>
    <col min="10" max="10" width="26" customWidth="1"/>
    <col min="11" max="11" width="11.109375" customWidth="1"/>
    <col min="12" max="12" width="7.6640625" bestFit="1" customWidth="1"/>
    <col min="13" max="13" width="22.88671875" bestFit="1" customWidth="1"/>
    <col min="14" max="14" width="12.44140625" bestFit="1" customWidth="1"/>
    <col min="15" max="15" width="11.88671875" bestFit="1" customWidth="1"/>
    <col min="16" max="16" width="6.6640625" bestFit="1" customWidth="1"/>
    <col min="17" max="17" width="20.5546875" customWidth="1"/>
    <col min="18" max="18" width="22.6640625" customWidth="1"/>
    <col min="19" max="19" width="21.5546875" customWidth="1"/>
    <col min="20" max="20" width="22.5546875" customWidth="1"/>
    <col min="21" max="22" width="21.77734375" customWidth="1"/>
    <col min="23" max="23" width="20.77734375" customWidth="1"/>
    <col min="25" max="25" width="12.5546875" customWidth="1"/>
    <col min="26" max="26" width="13.5546875" customWidth="1"/>
    <col min="27" max="27" width="14.21875" customWidth="1"/>
    <col min="44" max="44" width="19.33203125" customWidth="1"/>
    <col min="48" max="48" width="19.88671875" customWidth="1"/>
  </cols>
  <sheetData>
    <row r="1" spans="1:16" ht="15" thickBot="1" x14ac:dyDescent="0.35"/>
    <row r="2" spans="1:16" ht="21" thickBot="1" x14ac:dyDescent="0.5">
      <c r="B2" s="25" t="s">
        <v>27</v>
      </c>
      <c r="C2" s="26"/>
      <c r="D2" s="30"/>
      <c r="G2" s="15" t="s">
        <v>22</v>
      </c>
      <c r="H2" s="16">
        <v>428254.86437999998</v>
      </c>
      <c r="J2" s="21" t="s">
        <v>26</v>
      </c>
      <c r="K2" s="22"/>
    </row>
    <row r="3" spans="1:16" ht="20.399999999999999" x14ac:dyDescent="0.45">
      <c r="B3" s="23" t="s">
        <v>20</v>
      </c>
      <c r="C3" s="24">
        <f>PI()/200</f>
        <v>1.5707963267948967E-2</v>
      </c>
      <c r="D3" s="30"/>
      <c r="G3" s="17" t="s">
        <v>23</v>
      </c>
      <c r="H3" s="18">
        <v>4584084.2900099996</v>
      </c>
      <c r="I3" s="4"/>
      <c r="J3" s="27" t="s">
        <v>25</v>
      </c>
      <c r="K3" s="20">
        <f>0.13</f>
        <v>0.13</v>
      </c>
      <c r="P3" s="31"/>
    </row>
    <row r="4" spans="1:16" ht="20.399999999999999" x14ac:dyDescent="0.45">
      <c r="B4" s="5" t="s">
        <v>21</v>
      </c>
      <c r="C4" s="10">
        <f>6378000</f>
        <v>6378000</v>
      </c>
      <c r="D4" s="30"/>
      <c r="G4" s="17" t="s">
        <v>29</v>
      </c>
      <c r="H4" s="18">
        <v>49.898617372443816</v>
      </c>
      <c r="I4" s="4"/>
    </row>
    <row r="5" spans="1:16" ht="37.799999999999997" customHeight="1" x14ac:dyDescent="0.45">
      <c r="B5" s="5" t="s">
        <v>30</v>
      </c>
      <c r="C5" s="10">
        <f>2000000/PI()</f>
        <v>636619.77236758138</v>
      </c>
      <c r="D5" s="30"/>
      <c r="G5" s="15" t="s">
        <v>24</v>
      </c>
      <c r="H5" s="19">
        <v>0.99966334542276292</v>
      </c>
      <c r="I5" s="4"/>
      <c r="J5" s="9" t="s">
        <v>41</v>
      </c>
      <c r="K5" s="19">
        <v>235.33841324540853</v>
      </c>
    </row>
    <row r="6" spans="1:16" x14ac:dyDescent="0.3">
      <c r="B6" s="2"/>
      <c r="I6" s="4"/>
      <c r="J6" s="11"/>
    </row>
    <row r="8" spans="1:16" s="1" customFormat="1" ht="57.6" x14ac:dyDescent="0.3">
      <c r="A8" s="3" t="s">
        <v>0</v>
      </c>
      <c r="B8" s="3" t="s">
        <v>18</v>
      </c>
      <c r="C8" s="3" t="s">
        <v>19</v>
      </c>
      <c r="D8" s="3" t="s">
        <v>28</v>
      </c>
      <c r="E8" s="3" t="s">
        <v>16</v>
      </c>
      <c r="F8" s="3" t="s">
        <v>17</v>
      </c>
      <c r="G8" s="33" t="s">
        <v>31</v>
      </c>
      <c r="H8" s="33" t="s">
        <v>32</v>
      </c>
      <c r="I8" s="33" t="s">
        <v>33</v>
      </c>
      <c r="J8" s="33" t="s">
        <v>34</v>
      </c>
      <c r="K8" s="33" t="s">
        <v>40</v>
      </c>
      <c r="L8" s="33" t="s">
        <v>35</v>
      </c>
      <c r="M8" s="33" t="s">
        <v>39</v>
      </c>
      <c r="N8" s="34" t="s">
        <v>36</v>
      </c>
      <c r="O8" s="34" t="s">
        <v>37</v>
      </c>
      <c r="P8" s="34" t="s">
        <v>38</v>
      </c>
    </row>
    <row r="9" spans="1:16" x14ac:dyDescent="0.3">
      <c r="A9" s="29" t="s">
        <v>1</v>
      </c>
      <c r="B9" s="7">
        <v>116.2512</v>
      </c>
      <c r="C9" s="7">
        <v>103.5723</v>
      </c>
      <c r="D9" s="7">
        <v>115.7645</v>
      </c>
      <c r="E9" s="8">
        <v>0</v>
      </c>
      <c r="F9" s="8">
        <v>0</v>
      </c>
      <c r="G9" s="32">
        <f>D9/$C$4*$C$5</f>
        <v>11.555028165294273</v>
      </c>
      <c r="H9" s="32">
        <f>G9*$K$3</f>
        <v>1.5021536614882556</v>
      </c>
      <c r="I9" s="12">
        <f>D9*SIN((C9-G9+H9)*$C$3)/COS((G9/2)*$C$3)</f>
        <v>115.6410991484782</v>
      </c>
      <c r="J9" s="12">
        <f t="shared" ref="J9:J23" si="0">I9*$C$4/($C$4+$H$4)</f>
        <v>115.64019443135452</v>
      </c>
      <c r="K9" s="12">
        <f>J9*$H$5</f>
        <v>115.60126363058662</v>
      </c>
      <c r="L9" s="14">
        <f>B9+$K$5</f>
        <v>351.58961324540854</v>
      </c>
      <c r="M9" s="13">
        <f>IF(L9&gt;400,L9-400,L9)</f>
        <v>351.58961324540854</v>
      </c>
      <c r="N9" s="35">
        <f>$H$2+K9*SIN(M9*$C$3)</f>
        <v>428175.18828641786</v>
      </c>
      <c r="O9" s="36">
        <f>$H$3+K9*COS(M9*$C$3)</f>
        <v>4584168.0478291241</v>
      </c>
      <c r="P9" s="36">
        <f>D9*COS(C9*$C$3)+(0.5-$K$3)*D9^2/$C$4+$H$4</f>
        <v>43.406845391716821</v>
      </c>
    </row>
    <row r="10" spans="1:16" x14ac:dyDescent="0.3">
      <c r="A10" s="29" t="s">
        <v>2</v>
      </c>
      <c r="B10" s="7">
        <v>115.4362</v>
      </c>
      <c r="C10" s="7">
        <v>103.1571</v>
      </c>
      <c r="D10" s="7">
        <v>125.0616</v>
      </c>
      <c r="E10" s="8">
        <v>0</v>
      </c>
      <c r="F10" s="8">
        <v>0</v>
      </c>
      <c r="G10" s="32">
        <f t="shared" ref="G10:G23" si="1">D10/$C$4*$C$5</f>
        <v>12.483017767940659</v>
      </c>
      <c r="H10" s="32">
        <f t="shared" ref="H10:H23" si="2">G10*$K$3</f>
        <v>1.6227923098322856</v>
      </c>
      <c r="I10" s="12">
        <f t="shared" ref="I10:I23" si="3">D10*SIN((C10-G10+H10)*$C$3)/COS((G10/2)*$C$3)</f>
        <v>124.74625436436423</v>
      </c>
      <c r="J10" s="12">
        <f t="shared" si="0"/>
        <v>124.74527841313868</v>
      </c>
      <c r="K10" s="12">
        <f t="shared" ref="K10:K22" si="4">J10*$H$5</f>
        <v>124.70328234417218</v>
      </c>
      <c r="L10" s="14">
        <f>B10+$K$5</f>
        <v>350.77461324540855</v>
      </c>
      <c r="M10" s="13">
        <f t="shared" ref="M10:M23" si="5">IF(L10&gt;400,L10-400,L10)</f>
        <v>350.77461324540855</v>
      </c>
      <c r="N10" s="35">
        <f t="shared" ref="N10:N23" si="6">$H$2+K10*SIN(M10*$C$3)</f>
        <v>428167.76526514214</v>
      </c>
      <c r="O10" s="36">
        <f t="shared" ref="O10:O23" si="7">$H$3+K10*COS(M10*$C$3)</f>
        <v>4584173.5349135986</v>
      </c>
      <c r="P10" s="36">
        <f t="shared" ref="P10:P23" si="8">D10*COS(C10*$C$3)+(0.5-$K$3)*D10^2/$C$4+$H$4</f>
        <v>43.700060320050525</v>
      </c>
    </row>
    <row r="11" spans="1:16" x14ac:dyDescent="0.3">
      <c r="A11" s="6" t="s">
        <v>3</v>
      </c>
      <c r="B11" s="7">
        <v>91.066599999999994</v>
      </c>
      <c r="C11" s="7">
        <v>115.3586</v>
      </c>
      <c r="D11" s="7">
        <v>90.028099999999995</v>
      </c>
      <c r="E11" s="8">
        <v>0</v>
      </c>
      <c r="F11" s="8">
        <v>0</v>
      </c>
      <c r="G11" s="32">
        <f t="shared" si="1"/>
        <v>8.9861506002956801</v>
      </c>
      <c r="H11" s="32">
        <f t="shared" si="2"/>
        <v>1.1681995780384384</v>
      </c>
      <c r="I11" s="12">
        <f t="shared" si="3"/>
        <v>89.620404027615251</v>
      </c>
      <c r="J11" s="12">
        <f t="shared" si="0"/>
        <v>89.619702883171342</v>
      </c>
      <c r="K11" s="12">
        <f t="shared" si="4"/>
        <v>89.589531999985098</v>
      </c>
      <c r="L11" s="14">
        <f>B11+$K$5</f>
        <v>326.40501324540855</v>
      </c>
      <c r="M11" s="13">
        <f t="shared" si="5"/>
        <v>326.40501324540855</v>
      </c>
      <c r="N11" s="37">
        <f t="shared" si="6"/>
        <v>428172.87119443098</v>
      </c>
      <c r="O11" s="38">
        <f t="shared" si="7"/>
        <v>4584120.3926659161</v>
      </c>
      <c r="P11" s="38">
        <f t="shared" si="8"/>
        <v>28.38967562424763</v>
      </c>
    </row>
    <row r="12" spans="1:16" x14ac:dyDescent="0.3">
      <c r="A12" s="6" t="s">
        <v>4</v>
      </c>
      <c r="B12" s="7">
        <v>83.5685</v>
      </c>
      <c r="C12" s="7">
        <v>107.8728</v>
      </c>
      <c r="D12" s="7">
        <v>134.33699999999999</v>
      </c>
      <c r="E12" s="8">
        <v>0</v>
      </c>
      <c r="F12" s="8">
        <v>0</v>
      </c>
      <c r="G12" s="32">
        <f t="shared" si="1"/>
        <v>13.408841386099681</v>
      </c>
      <c r="H12" s="32">
        <f t="shared" si="2"/>
        <v>1.7431493801929585</v>
      </c>
      <c r="I12" s="12">
        <f t="shared" si="3"/>
        <v>134.84573011164599</v>
      </c>
      <c r="J12" s="12">
        <f t="shared" si="0"/>
        <v>134.8446751472606</v>
      </c>
      <c r="K12" s="12">
        <f t="shared" si="4"/>
        <v>134.79927907015622</v>
      </c>
      <c r="L12" s="14">
        <f>B12+$K$5</f>
        <v>318.90691324540853</v>
      </c>
      <c r="M12" s="13">
        <f t="shared" si="5"/>
        <v>318.90691324540853</v>
      </c>
      <c r="N12" s="37">
        <f t="shared" si="6"/>
        <v>428125.96635190753</v>
      </c>
      <c r="O12" s="38">
        <f t="shared" si="7"/>
        <v>4584123.7380009713</v>
      </c>
      <c r="P12" s="38">
        <f t="shared" si="8"/>
        <v>33.329103038039214</v>
      </c>
    </row>
    <row r="13" spans="1:16" x14ac:dyDescent="0.3">
      <c r="A13" s="6" t="s">
        <v>5</v>
      </c>
      <c r="B13" s="7">
        <v>83.555899999999994</v>
      </c>
      <c r="C13" s="7">
        <v>106.364</v>
      </c>
      <c r="D13" s="7">
        <v>133.96770000000001</v>
      </c>
      <c r="E13" s="8">
        <v>0</v>
      </c>
      <c r="F13" s="8">
        <v>0</v>
      </c>
      <c r="G13" s="32">
        <f t="shared" si="1"/>
        <v>13.371979723833244</v>
      </c>
      <c r="H13" s="32">
        <f t="shared" si="2"/>
        <v>1.7383573640983216</v>
      </c>
      <c r="I13" s="12">
        <f t="shared" si="3"/>
        <v>134.24870226173289</v>
      </c>
      <c r="J13" s="12">
        <f t="shared" si="0"/>
        <v>134.24765196818964</v>
      </c>
      <c r="K13" s="12">
        <f t="shared" si="4"/>
        <v>134.20245688167122</v>
      </c>
      <c r="L13" s="14">
        <f>B13+$K$5</f>
        <v>318.89431324540851</v>
      </c>
      <c r="M13" s="13">
        <f t="shared" si="5"/>
        <v>318.89431324540851</v>
      </c>
      <c r="N13" s="37">
        <f t="shared" si="6"/>
        <v>428126.52927589993</v>
      </c>
      <c r="O13" s="38">
        <f t="shared" si="7"/>
        <v>4584123.5379461069</v>
      </c>
      <c r="P13" s="38">
        <f t="shared" si="8"/>
        <v>36.529807025360689</v>
      </c>
    </row>
    <row r="14" spans="1:16" x14ac:dyDescent="0.3">
      <c r="A14" s="6" t="s">
        <v>6</v>
      </c>
      <c r="B14" s="7">
        <v>79.4773</v>
      </c>
      <c r="C14" s="7">
        <v>106.504</v>
      </c>
      <c r="D14" s="7">
        <v>131.2029</v>
      </c>
      <c r="E14" s="8">
        <v>0</v>
      </c>
      <c r="F14" s="8">
        <v>0</v>
      </c>
      <c r="G14" s="32">
        <f t="shared" si="1"/>
        <v>13.096011340853957</v>
      </c>
      <c r="H14" s="32">
        <f t="shared" si="2"/>
        <v>1.7024814743110146</v>
      </c>
      <c r="I14" s="12">
        <f t="shared" si="3"/>
        <v>131.51114752367607</v>
      </c>
      <c r="J14" s="12">
        <f t="shared" si="0"/>
        <v>131.51011864736827</v>
      </c>
      <c r="K14" s="12">
        <f t="shared" si="4"/>
        <v>131.46584516397263</v>
      </c>
      <c r="L14" s="14">
        <f>B14+$K$5</f>
        <v>314.81571324540852</v>
      </c>
      <c r="M14" s="13">
        <f t="shared" si="5"/>
        <v>314.81571324540852</v>
      </c>
      <c r="N14" s="37">
        <f t="shared" si="6"/>
        <v>428126.94264158426</v>
      </c>
      <c r="O14" s="38">
        <f t="shared" si="7"/>
        <v>4584114.6099256556</v>
      </c>
      <c r="P14" s="38">
        <f t="shared" si="8"/>
        <v>36.518631057190227</v>
      </c>
    </row>
    <row r="15" spans="1:16" x14ac:dyDescent="0.3">
      <c r="A15" s="6" t="s">
        <v>7</v>
      </c>
      <c r="B15" s="7">
        <v>88.729100000000003</v>
      </c>
      <c r="C15" s="7">
        <v>108.64749999999999</v>
      </c>
      <c r="D15" s="7">
        <v>113.5566</v>
      </c>
      <c r="E15" s="8">
        <v>0</v>
      </c>
      <c r="F15" s="8">
        <v>0</v>
      </c>
      <c r="G15" s="32">
        <f t="shared" si="1"/>
        <v>11.334646729826984</v>
      </c>
      <c r="H15" s="32">
        <f t="shared" si="2"/>
        <v>1.4735040748775079</v>
      </c>
      <c r="I15" s="12">
        <f t="shared" si="3"/>
        <v>113.98733860441808</v>
      </c>
      <c r="J15" s="12">
        <f t="shared" si="0"/>
        <v>113.98644682547548</v>
      </c>
      <c r="K15" s="12">
        <f t="shared" si="4"/>
        <v>113.9480727664087</v>
      </c>
      <c r="L15" s="14">
        <f>B15+$K$5</f>
        <v>324.06751324540852</v>
      </c>
      <c r="M15" s="13">
        <f t="shared" si="5"/>
        <v>324.06751324540852</v>
      </c>
      <c r="N15" s="37">
        <f t="shared" si="6"/>
        <v>428148.96268559381</v>
      </c>
      <c r="O15" s="38">
        <f t="shared" si="7"/>
        <v>4584126.3494252246</v>
      </c>
      <c r="P15" s="38">
        <f t="shared" si="8"/>
        <v>34.521839256275129</v>
      </c>
    </row>
    <row r="16" spans="1:16" x14ac:dyDescent="0.3">
      <c r="A16" s="6" t="s">
        <v>8</v>
      </c>
      <c r="B16" s="7">
        <v>132.33430000000001</v>
      </c>
      <c r="C16" s="7">
        <v>106.3989</v>
      </c>
      <c r="D16" s="7">
        <v>72.105500000000006</v>
      </c>
      <c r="E16" s="8">
        <v>0</v>
      </c>
      <c r="F16" s="8">
        <v>0</v>
      </c>
      <c r="G16" s="32">
        <f t="shared" si="1"/>
        <v>7.1972071176623773</v>
      </c>
      <c r="H16" s="32">
        <f t="shared" si="2"/>
        <v>0.93563692529610909</v>
      </c>
      <c r="I16" s="12">
        <f t="shared" si="3"/>
        <v>72.220683858730567</v>
      </c>
      <c r="J16" s="12">
        <f t="shared" si="0"/>
        <v>72.220118840844606</v>
      </c>
      <c r="K16" s="12">
        <f t="shared" si="4"/>
        <v>72.195805607268227</v>
      </c>
      <c r="L16" s="14">
        <f>B16+$K$5</f>
        <v>367.67271324540854</v>
      </c>
      <c r="M16" s="13">
        <f t="shared" si="5"/>
        <v>367.67271324540854</v>
      </c>
      <c r="N16" s="37">
        <f t="shared" si="6"/>
        <v>428219.75899713166</v>
      </c>
      <c r="O16" s="38">
        <f t="shared" si="7"/>
        <v>4584147.3760341331</v>
      </c>
      <c r="P16" s="38">
        <f t="shared" si="8"/>
        <v>42.663526962159139</v>
      </c>
    </row>
    <row r="17" spans="1:16" x14ac:dyDescent="0.3">
      <c r="A17" s="6" t="s">
        <v>9</v>
      </c>
      <c r="B17" s="7">
        <v>147.1884</v>
      </c>
      <c r="C17" s="7">
        <v>110.56959999999999</v>
      </c>
      <c r="D17" s="7">
        <v>55.2986</v>
      </c>
      <c r="E17" s="8">
        <v>0</v>
      </c>
      <c r="F17" s="8">
        <v>0</v>
      </c>
      <c r="G17" s="32">
        <f t="shared" si="1"/>
        <v>5.5196271784643987</v>
      </c>
      <c r="H17" s="32">
        <f t="shared" si="2"/>
        <v>0.7175515332003719</v>
      </c>
      <c r="I17" s="12">
        <f t="shared" si="3"/>
        <v>55.123608664006319</v>
      </c>
      <c r="J17" s="12">
        <f t="shared" si="0"/>
        <v>55.123177404938005</v>
      </c>
      <c r="K17" s="12">
        <f t="shared" si="4"/>
        <v>55.10461993495278</v>
      </c>
      <c r="L17" s="14">
        <f>B17+$K$5</f>
        <v>382.52681324540856</v>
      </c>
      <c r="M17" s="13">
        <f t="shared" si="5"/>
        <v>382.52681324540856</v>
      </c>
      <c r="N17" s="37">
        <f t="shared" si="6"/>
        <v>428239.9290961682</v>
      </c>
      <c r="O17" s="38">
        <f t="shared" si="7"/>
        <v>4584137.3320351783</v>
      </c>
      <c r="P17" s="38">
        <f t="shared" si="8"/>
        <v>40.759861358350548</v>
      </c>
    </row>
    <row r="18" spans="1:16" x14ac:dyDescent="0.3">
      <c r="A18" s="6" t="s">
        <v>10</v>
      </c>
      <c r="B18" s="7">
        <v>163.37260000000001</v>
      </c>
      <c r="C18" s="7">
        <v>112.4131</v>
      </c>
      <c r="D18" s="7">
        <v>47.034999999999997</v>
      </c>
      <c r="E18" s="8">
        <v>0</v>
      </c>
      <c r="F18" s="8">
        <v>0</v>
      </c>
      <c r="G18" s="32">
        <f t="shared" si="1"/>
        <v>4.6947963300892424</v>
      </c>
      <c r="H18" s="32">
        <f t="shared" si="2"/>
        <v>0.61032352291160152</v>
      </c>
      <c r="I18" s="12">
        <f t="shared" si="3"/>
        <v>46.664782047758969</v>
      </c>
      <c r="J18" s="12">
        <f t="shared" si="0"/>
        <v>46.664416966246407</v>
      </c>
      <c r="K18" s="12">
        <f t="shared" si="4"/>
        <v>46.648707176680617</v>
      </c>
      <c r="L18" s="14">
        <f>B18+$K$5</f>
        <v>398.71101324540854</v>
      </c>
      <c r="M18" s="13">
        <f t="shared" si="5"/>
        <v>398.71101324540854</v>
      </c>
      <c r="N18" s="37">
        <f t="shared" si="6"/>
        <v>428253.91993152449</v>
      </c>
      <c r="O18" s="38">
        <f t="shared" si="7"/>
        <v>4584130.9291555574</v>
      </c>
      <c r="P18" s="38">
        <f t="shared" si="8"/>
        <v>40.785651096868108</v>
      </c>
    </row>
    <row r="19" spans="1:16" x14ac:dyDescent="0.3">
      <c r="A19" s="6" t="s">
        <v>11</v>
      </c>
      <c r="B19" s="7">
        <v>230.18459999999999</v>
      </c>
      <c r="C19" s="7">
        <v>100.69119999999999</v>
      </c>
      <c r="D19" s="7">
        <v>20.991700000000002</v>
      </c>
      <c r="E19" s="8">
        <v>0</v>
      </c>
      <c r="F19" s="8">
        <v>0</v>
      </c>
      <c r="G19" s="32">
        <f t="shared" si="1"/>
        <v>2.095285555912286</v>
      </c>
      <c r="H19" s="32">
        <f t="shared" si="2"/>
        <v>0.27238712226859718</v>
      </c>
      <c r="I19" s="12">
        <f t="shared" si="3"/>
        <v>20.991225553647936</v>
      </c>
      <c r="J19" s="12">
        <f t="shared" si="0"/>
        <v>20.991061328979153</v>
      </c>
      <c r="K19" s="12">
        <f t="shared" si="4"/>
        <v>20.983994592101688</v>
      </c>
      <c r="L19" s="14">
        <f>B19+$K$5</f>
        <v>465.52301324540849</v>
      </c>
      <c r="M19" s="13">
        <f t="shared" si="5"/>
        <v>65.523013245408492</v>
      </c>
      <c r="N19" s="37">
        <f t="shared" si="6"/>
        <v>428272.84564711736</v>
      </c>
      <c r="O19" s="38">
        <f t="shared" si="7"/>
        <v>4584095.1067591365</v>
      </c>
      <c r="P19" s="38">
        <f t="shared" si="8"/>
        <v>49.670733300809076</v>
      </c>
    </row>
    <row r="20" spans="1:16" x14ac:dyDescent="0.3">
      <c r="A20" s="6" t="s">
        <v>12</v>
      </c>
      <c r="B20" s="7">
        <v>253.76410000000001</v>
      </c>
      <c r="C20" s="7">
        <v>94.912999999999997</v>
      </c>
      <c r="D20" s="7">
        <v>22.1433</v>
      </c>
      <c r="E20" s="8">
        <v>0</v>
      </c>
      <c r="F20" s="8">
        <v>0</v>
      </c>
      <c r="G20" s="32">
        <f t="shared" si="1"/>
        <v>2.2102324561723212</v>
      </c>
      <c r="H20" s="32">
        <f t="shared" si="2"/>
        <v>0.28733021930240177</v>
      </c>
      <c r="I20" s="12">
        <f t="shared" si="3"/>
        <v>22.012513939188622</v>
      </c>
      <c r="J20" s="12">
        <f t="shared" si="0"/>
        <v>22.012341724479121</v>
      </c>
      <c r="K20" s="12">
        <f t="shared" si="4"/>
        <v>22.004931168881868</v>
      </c>
      <c r="L20" s="14">
        <f>B20+$K$5</f>
        <v>489.10251324540855</v>
      </c>
      <c r="M20" s="13">
        <f t="shared" si="5"/>
        <v>89.102513245408545</v>
      </c>
      <c r="N20" s="37">
        <f t="shared" si="6"/>
        <v>428276.54770694027</v>
      </c>
      <c r="O20" s="38">
        <f t="shared" si="7"/>
        <v>4584088.0383867882</v>
      </c>
      <c r="P20" s="38">
        <f t="shared" si="8"/>
        <v>51.666155070176366</v>
      </c>
    </row>
    <row r="21" spans="1:16" x14ac:dyDescent="0.3">
      <c r="A21" s="6" t="s">
        <v>13</v>
      </c>
      <c r="B21" s="7">
        <v>322.29259999999999</v>
      </c>
      <c r="C21" s="7">
        <v>101.777</v>
      </c>
      <c r="D21" s="7">
        <v>8.0930999999999997</v>
      </c>
      <c r="E21" s="8">
        <v>0</v>
      </c>
      <c r="F21" s="8">
        <v>0</v>
      </c>
      <c r="G21" s="32">
        <f t="shared" si="1"/>
        <v>0.80781239883162004</v>
      </c>
      <c r="H21" s="32">
        <f t="shared" si="2"/>
        <v>0.1050156118481106</v>
      </c>
      <c r="I21" s="12">
        <f t="shared" si="3"/>
        <v>8.0921107740240714</v>
      </c>
      <c r="J21" s="12">
        <f t="shared" si="0"/>
        <v>8.0920474654664911</v>
      </c>
      <c r="K21" s="12">
        <f t="shared" si="4"/>
        <v>8.0893232406480227</v>
      </c>
      <c r="L21" s="14">
        <f>B21+$K$5</f>
        <v>557.63101324540855</v>
      </c>
      <c r="M21" s="13">
        <f t="shared" si="5"/>
        <v>157.63101324540855</v>
      </c>
      <c r="N21" s="37">
        <f t="shared" si="6"/>
        <v>428259.85934696568</v>
      </c>
      <c r="O21" s="38">
        <f t="shared" si="7"/>
        <v>4584077.9270346342</v>
      </c>
      <c r="P21" s="38">
        <f t="shared" si="8"/>
        <v>49.67274739510593</v>
      </c>
    </row>
    <row r="22" spans="1:16" x14ac:dyDescent="0.3">
      <c r="A22" s="29" t="s">
        <v>14</v>
      </c>
      <c r="B22" s="7">
        <v>350.68889999999999</v>
      </c>
      <c r="C22" s="7">
        <v>107.58969999999999</v>
      </c>
      <c r="D22" s="7">
        <v>65.210400000000007</v>
      </c>
      <c r="E22" s="8">
        <v>0</v>
      </c>
      <c r="F22" s="8">
        <v>0</v>
      </c>
      <c r="G22" s="32">
        <f t="shared" si="1"/>
        <v>6.5089730329255149</v>
      </c>
      <c r="H22" s="32">
        <f t="shared" si="2"/>
        <v>0.84616649428031698</v>
      </c>
      <c r="I22" s="12">
        <f t="shared" si="3"/>
        <v>65.265795824564037</v>
      </c>
      <c r="J22" s="12">
        <f t="shared" si="0"/>
        <v>65.265285218183536</v>
      </c>
      <c r="K22" s="12">
        <f t="shared" si="4"/>
        <v>65.243313361180157</v>
      </c>
      <c r="L22" s="14">
        <f>B22+$K$5</f>
        <v>586.02731324540855</v>
      </c>
      <c r="M22" s="13">
        <f t="shared" si="5"/>
        <v>186.02731324540855</v>
      </c>
      <c r="N22" s="35">
        <f t="shared" si="6"/>
        <v>428269.06944898295</v>
      </c>
      <c r="O22" s="36">
        <f t="shared" si="7"/>
        <v>4584020.6118665477</v>
      </c>
      <c r="P22" s="36">
        <f t="shared" si="8"/>
        <v>42.142966145260395</v>
      </c>
    </row>
    <row r="23" spans="1:16" x14ac:dyDescent="0.3">
      <c r="A23" s="29" t="s">
        <v>15</v>
      </c>
      <c r="B23" s="7">
        <v>352.26929999999999</v>
      </c>
      <c r="C23" s="7">
        <v>108.2854</v>
      </c>
      <c r="D23" s="7">
        <v>59.686900000000001</v>
      </c>
      <c r="E23" s="8">
        <v>0</v>
      </c>
      <c r="F23" s="8">
        <v>0</v>
      </c>
      <c r="G23" s="32">
        <f t="shared" si="1"/>
        <v>5.9576451381822819</v>
      </c>
      <c r="H23" s="32">
        <f t="shared" si="2"/>
        <v>0.77449386796369668</v>
      </c>
      <c r="I23" s="12">
        <f t="shared" si="3"/>
        <v>59.681369218434639</v>
      </c>
      <c r="J23" s="12">
        <f t="shared" si="0"/>
        <v>59.68090230176665</v>
      </c>
      <c r="K23" s="12">
        <f>J23*$H$5</f>
        <v>59.660810452833118</v>
      </c>
      <c r="L23" s="14">
        <f>B23+$K$5</f>
        <v>587.60771324540849</v>
      </c>
      <c r="M23" s="13">
        <f t="shared" si="5"/>
        <v>187.60771324540849</v>
      </c>
      <c r="N23" s="35">
        <f t="shared" si="6"/>
        <v>428266.40460626187</v>
      </c>
      <c r="O23" s="36">
        <f t="shared" si="7"/>
        <v>4584025.7559559653</v>
      </c>
      <c r="P23" s="36">
        <f t="shared" si="8"/>
        <v>42.152678350495911</v>
      </c>
    </row>
    <row r="24" spans="1:16" x14ac:dyDescent="0.3">
      <c r="B24" s="2"/>
      <c r="G24" s="28"/>
    </row>
  </sheetData>
  <phoneticPr fontId="1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Coord aprox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2026-02-04T23:11:10Z</dcterms:modified>
</cp:coreProperties>
</file>