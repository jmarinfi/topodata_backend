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ou\NAS\_DePaso\Ajustes topografía\Problema 03 Ajuste conjunto de 2 estacionamientos\"/>
    </mc:Choice>
  </mc:AlternateContent>
  <xr:revisionPtr revIDLastSave="0" documentId="13_ncr:1_{0E7152CC-205E-442A-9EE6-389B98BA8503}" xr6:coauthVersionLast="47" xr6:coauthVersionMax="47" xr10:uidLastSave="{00000000-0000-0000-0000-000000000000}"/>
  <bookViews>
    <workbookView xWindow="-108" yWindow="-108" windowWidth="23256" windowHeight="12456" xr2:uid="{55901409-FE48-4B62-BED5-462D43EC8893}"/>
  </bookViews>
  <sheets>
    <sheet name="Cálculo Z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Q5" i="1" s="1"/>
  <c r="F3" i="1"/>
  <c r="J9" i="1"/>
  <c r="I9" i="1"/>
  <c r="K9" i="1" s="1"/>
  <c r="L9" i="1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K15" i="1" l="1"/>
  <c r="L15" i="1" s="1"/>
  <c r="K23" i="1"/>
  <c r="L23" i="1" s="1"/>
  <c r="K16" i="1"/>
  <c r="L16" i="1" s="1"/>
  <c r="K20" i="1"/>
  <c r="L20" i="1" s="1"/>
  <c r="K12" i="1"/>
  <c r="L12" i="1" s="1"/>
  <c r="K18" i="1"/>
  <c r="L18" i="1" s="1"/>
  <c r="K19" i="1"/>
  <c r="K11" i="1"/>
  <c r="K22" i="1"/>
  <c r="K14" i="1"/>
  <c r="K21" i="1"/>
  <c r="K13" i="1"/>
  <c r="K10" i="1"/>
  <c r="K17" i="1"/>
  <c r="L10" i="1" l="1"/>
  <c r="L21" i="1"/>
  <c r="L19" i="1"/>
  <c r="L13" i="1"/>
  <c r="L14" i="1"/>
  <c r="L17" i="1"/>
  <c r="L11" i="1"/>
  <c r="L22" i="1"/>
  <c r="M3" i="1" l="1"/>
  <c r="M17" i="1" s="1"/>
  <c r="F4" i="1"/>
  <c r="M14" i="1" l="1"/>
  <c r="M9" i="1"/>
  <c r="N9" i="1" s="1"/>
  <c r="M23" i="1"/>
  <c r="N23" i="1" s="1"/>
  <c r="M15" i="1"/>
  <c r="M20" i="1"/>
  <c r="N20" i="1" s="1"/>
  <c r="M18" i="1"/>
  <c r="M16" i="1"/>
  <c r="N16" i="1" s="1"/>
  <c r="M12" i="1"/>
  <c r="N12" i="1" s="1"/>
  <c r="M10" i="1"/>
  <c r="N10" i="1" s="1"/>
  <c r="M13" i="1"/>
  <c r="M22" i="1"/>
  <c r="M11" i="1"/>
  <c r="M19" i="1"/>
  <c r="M21" i="1"/>
  <c r="N21" i="1" s="1"/>
  <c r="N15" i="1"/>
  <c r="N18" i="1"/>
  <c r="N17" i="1"/>
  <c r="N14" i="1"/>
  <c r="N19" i="1"/>
  <c r="N13" i="1"/>
  <c r="N11" i="1"/>
  <c r="N22" i="1"/>
  <c r="N25" i="1" l="1"/>
  <c r="O23" i="1" s="1"/>
  <c r="P23" i="1" l="1"/>
  <c r="Q23" i="1" s="1"/>
  <c r="O18" i="1"/>
  <c r="O20" i="1"/>
  <c r="P20" i="1" s="1"/>
  <c r="Q20" i="1" s="1"/>
  <c r="O12" i="1"/>
  <c r="O19" i="1"/>
  <c r="P19" i="1" s="1"/>
  <c r="Q19" i="1" s="1"/>
  <c r="O13" i="1"/>
  <c r="P13" i="1" s="1"/>
  <c r="Q13" i="1" s="1"/>
  <c r="O11" i="1"/>
  <c r="O16" i="1"/>
  <c r="P16" i="1" s="1"/>
  <c r="Q16" i="1" s="1"/>
  <c r="O21" i="1"/>
  <c r="O14" i="1"/>
  <c r="O10" i="1"/>
  <c r="P10" i="1" s="1"/>
  <c r="Q10" i="1" s="1"/>
  <c r="O15" i="1"/>
  <c r="O17" i="1"/>
  <c r="P17" i="1" s="1"/>
  <c r="Q17" i="1" s="1"/>
  <c r="O9" i="1"/>
  <c r="O22" i="1"/>
  <c r="P22" i="1" s="1"/>
  <c r="Q22" i="1" s="1"/>
  <c r="P11" i="1" l="1"/>
  <c r="Q11" i="1" s="1"/>
  <c r="P12" i="1"/>
  <c r="Q12" i="1" s="1"/>
  <c r="P9" i="1"/>
  <c r="Q9" i="1" s="1"/>
  <c r="P14" i="1"/>
  <c r="Q14" i="1" s="1"/>
  <c r="P15" i="1"/>
  <c r="Q15" i="1" s="1"/>
  <c r="P18" i="1"/>
  <c r="Q18" i="1" s="1"/>
  <c r="P21" i="1"/>
  <c r="Q21" i="1" s="1"/>
  <c r="P2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tc={55FB3767-EDA2-4B14-A126-C611E2B3E671}</author>
    <author>tc={7C208064-2371-4AFD-98E8-438E2DD30058}</author>
    <author>tc={69CA57D1-862A-4C5C-9CAC-D1598213A680}</author>
    <author>tc={F47E7725-4A37-42C5-B59C-0F073F4EBC69}</author>
    <author>tc={28B1BC01-9AB5-4EA9-A2BF-B3A5F651412F}</author>
  </authors>
  <commentList>
    <comment ref="E3" authorId="0" shapeId="0" xr:uid="{55FB3767-EDA2-4B14-A126-C611E2B3E6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 de ángulos centesimales (gones) a ángulos radianes.</t>
      </text>
    </comment>
    <comment ref="E5" authorId="1" shapeId="0" xr:uid="{7C208064-2371-4AFD-98E8-438E2DD300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 de ángulos centesimales (gones) a ángulos radianes.</t>
      </text>
    </comment>
    <comment ref="G8" authorId="2" shapeId="0" xr:uid="{69CA57D1-862A-4C5C-9CAC-D1598213A6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 = instrumento. Altura de la estación total sobre el suelo. En auscultación casi siempre es 0.</t>
      </text>
    </comment>
    <comment ref="H8" authorId="3" shapeId="0" xr:uid="{F47E7725-4A37-42C5-B59C-0F073F4EBC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 = mira. Altura del jalón, distancia desde el prisma hasta el suelo. En auscultación casi siempre es 0</t>
      </text>
    </comment>
    <comment ref="O8" authorId="4" shapeId="0" xr:uid="{28B1BC01-9AB5-4EA9-A2BF-B3A5F65141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sé si es al elipsoide, pero el cálculo está bien.</t>
      </text>
    </comment>
  </commentList>
</comments>
</file>

<file path=xl/sharedStrings.xml><?xml version="1.0" encoding="utf-8"?>
<sst xmlns="http://schemas.openxmlformats.org/spreadsheetml/2006/main" count="45" uniqueCount="45">
  <si>
    <t>Punto Visado</t>
  </si>
  <si>
    <t>σ(α)(cc)</t>
  </si>
  <si>
    <t>C55-R-01E-C</t>
  </si>
  <si>
    <t>C55-R-02E-C</t>
  </si>
  <si>
    <t>C56-058-014-20</t>
  </si>
  <si>
    <t>C56-058-024-10</t>
  </si>
  <si>
    <t>C56-058-024-20</t>
  </si>
  <si>
    <t>C56-058-024-22</t>
  </si>
  <si>
    <t>C56-058-027-20</t>
  </si>
  <si>
    <t>C56-059-003-20</t>
  </si>
  <si>
    <t>C56-059-003-22</t>
  </si>
  <si>
    <t>C56-059-003-24</t>
  </si>
  <si>
    <t>C56-059-009-20</t>
  </si>
  <si>
    <t>C56-059-009-22</t>
  </si>
  <si>
    <t>C56-059-009-24</t>
  </si>
  <si>
    <t>C56-R-01S</t>
  </si>
  <si>
    <t>C56-R-02S</t>
  </si>
  <si>
    <t>x (m)</t>
  </si>
  <si>
    <t>y (m)</t>
  </si>
  <si>
    <t>i (m)</t>
  </si>
  <si>
    <t>m (m)</t>
  </si>
  <si>
    <t>Ángulo Horizontal corregido por Bessel (gon)</t>
  </si>
  <si>
    <t>Ángulo Vertical corregido por Bessel (gon)</t>
  </si>
  <si>
    <t>z (m)</t>
  </si>
  <si>
    <t>ΔE(m)</t>
  </si>
  <si>
    <t>ΔN(m)</t>
  </si>
  <si>
    <t>Distancia calculada (m)</t>
  </si>
  <si>
    <t>Distancia reducida a la cuerda (m)</t>
  </si>
  <si>
    <t>gon_r (adimensional)</t>
  </si>
  <si>
    <t>Radio Tierra (m)</t>
  </si>
  <si>
    <r>
      <t>X</t>
    </r>
    <r>
      <rPr>
        <vertAlign val="subscript"/>
        <sz val="14"/>
        <color theme="1"/>
        <rFont val="Aptos Narrow"/>
        <family val="2"/>
        <scheme val="minor"/>
      </rPr>
      <t xml:space="preserve"> Estación total</t>
    </r>
  </si>
  <si>
    <r>
      <t>Y</t>
    </r>
    <r>
      <rPr>
        <vertAlign val="subscript"/>
        <sz val="14"/>
        <color theme="1"/>
        <rFont val="Aptos Narrow"/>
        <family val="2"/>
        <scheme val="minor"/>
      </rPr>
      <t xml:space="preserve"> Estación total</t>
    </r>
  </si>
  <si>
    <r>
      <t xml:space="preserve">K </t>
    </r>
    <r>
      <rPr>
        <vertAlign val="subscript"/>
        <sz val="14"/>
        <color theme="1"/>
        <rFont val="Aptos Narrow"/>
        <family val="2"/>
        <scheme val="minor"/>
      </rPr>
      <t>UTM</t>
    </r>
  </si>
  <si>
    <t>ΔZ' (m)</t>
  </si>
  <si>
    <t>Z' promedio (m)</t>
  </si>
  <si>
    <t>Z'(m)</t>
  </si>
  <si>
    <t>Kt (coeficiente de refracción)</t>
  </si>
  <si>
    <t>Precisión angular ETR (segundos sexagesimales)</t>
  </si>
  <si>
    <t>s_sexa_s_gon</t>
  </si>
  <si>
    <t>ΔZ''(m)</t>
  </si>
  <si>
    <t>Z''(m)</t>
  </si>
  <si>
    <t>Distancia reducida al ¿elipsoide? (m)</t>
  </si>
  <si>
    <r>
      <t>Z</t>
    </r>
    <r>
      <rPr>
        <vertAlign val="subscript"/>
        <sz val="11"/>
        <color theme="1"/>
        <rFont val="Aptos Narrow"/>
        <family val="2"/>
        <scheme val="minor"/>
      </rPr>
      <t>EST</t>
    </r>
    <r>
      <rPr>
        <sz val="11"/>
        <color theme="1"/>
        <rFont val="Aptos Narrow"/>
        <family val="2"/>
        <scheme val="minor"/>
      </rPr>
      <t xml:space="preserve"> (m)</t>
    </r>
  </si>
  <si>
    <t xml:space="preserve">                      Variables de cada proyecto</t>
  </si>
  <si>
    <t xml:space="preserve">           Constantes para toda la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</si>
</sst>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0000"/>
    <numFmt numFmtId="167" formatCode="0.000000"/>
    <numFmt numFmtId="171" formatCode="0.0000000000"/>
    <numFmt numFmtId="173" formatCode="0.00000000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vertAlign val="subscript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59EDD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0" fillId="0" borderId="1" xfId="0" applyBorder="1" applyAlignment="1">
      <alignment wrapText="1"/>
    </xf>
    <xf numFmtId="167" fontId="0" fillId="0" borderId="0" xfId="0" applyNumberFormat="1"/>
    <xf numFmtId="0" fontId="0" fillId="0" borderId="2" xfId="0" applyBorder="1"/>
    <xf numFmtId="0" fontId="0" fillId="0" borderId="1" xfId="0" applyFill="1" applyBorder="1" applyAlignment="1">
      <alignment wrapText="1"/>
    </xf>
    <xf numFmtId="0" fontId="0" fillId="4" borderId="1" xfId="0" applyFill="1" applyBorder="1"/>
    <xf numFmtId="166" fontId="0" fillId="4" borderId="1" xfId="0" applyNumberFormat="1" applyFill="1" applyBorder="1"/>
    <xf numFmtId="166" fontId="0" fillId="2" borderId="1" xfId="0" applyNumberFormat="1" applyFill="1" applyBorder="1"/>
    <xf numFmtId="1" fontId="0" fillId="2" borderId="1" xfId="0" applyNumberFormat="1" applyFill="1" applyBorder="1"/>
    <xf numFmtId="0" fontId="0" fillId="0" borderId="2" xfId="0" applyBorder="1" applyAlignment="1">
      <alignment wrapText="1"/>
    </xf>
    <xf numFmtId="0" fontId="1" fillId="0" borderId="0" xfId="0" applyFont="1" applyAlignment="1">
      <alignment wrapText="1"/>
    </xf>
    <xf numFmtId="0" fontId="0" fillId="5" borderId="3" xfId="0" applyFill="1" applyBorder="1"/>
    <xf numFmtId="0" fontId="0" fillId="0" borderId="0" xfId="0" applyFont="1"/>
    <xf numFmtId="2" fontId="0" fillId="4" borderId="3" xfId="0" applyNumberFormat="1" applyFont="1" applyFill="1" applyBorder="1"/>
    <xf numFmtId="173" fontId="0" fillId="0" borderId="0" xfId="0" applyNumberFormat="1" applyFont="1"/>
    <xf numFmtId="0" fontId="0" fillId="0" borderId="0" xfId="0" applyFont="1" applyAlignment="1">
      <alignment wrapText="1"/>
    </xf>
    <xf numFmtId="0" fontId="0" fillId="0" borderId="0" xfId="0" applyFont="1" applyFill="1"/>
    <xf numFmtId="0" fontId="0" fillId="0" borderId="2" xfId="0" applyFont="1" applyBorder="1"/>
    <xf numFmtId="165" fontId="0" fillId="0" borderId="3" xfId="0" applyNumberFormat="1" applyFont="1" applyBorder="1"/>
    <xf numFmtId="22" fontId="0" fillId="0" borderId="0" xfId="0" applyNumberFormat="1" applyFont="1"/>
    <xf numFmtId="171" fontId="0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3" xfId="0" applyFont="1" applyBorder="1"/>
    <xf numFmtId="0" fontId="0" fillId="3" borderId="2" xfId="0" applyFont="1" applyFill="1" applyBorder="1" applyAlignment="1">
      <alignment horizontal="center" wrapText="1"/>
    </xf>
    <xf numFmtId="165" fontId="0" fillId="3" borderId="3" xfId="0" applyNumberFormat="1" applyFont="1" applyFill="1" applyBorder="1"/>
    <xf numFmtId="0" fontId="0" fillId="0" borderId="1" xfId="0" applyFill="1" applyBorder="1" applyAlignment="1">
      <alignment horizontal="center" wrapText="1"/>
    </xf>
    <xf numFmtId="0" fontId="0" fillId="0" borderId="1" xfId="0" applyFont="1" applyFill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Font="1" applyFill="1" applyBorder="1" applyAlignment="1">
      <alignment horizontal="center"/>
    </xf>
    <xf numFmtId="165" fontId="0" fillId="0" borderId="1" xfId="0" applyNumberFormat="1" applyFont="1" applyFill="1" applyBorder="1"/>
    <xf numFmtId="0" fontId="5" fillId="0" borderId="2" xfId="0" applyFont="1" applyBorder="1"/>
    <xf numFmtId="166" fontId="0" fillId="3" borderId="3" xfId="0" applyNumberFormat="1" applyFill="1" applyBorder="1"/>
    <xf numFmtId="0" fontId="5" fillId="0" borderId="5" xfId="0" applyFont="1" applyBorder="1"/>
    <xf numFmtId="166" fontId="0" fillId="3" borderId="6" xfId="0" applyNumberFormat="1" applyFill="1" applyBorder="1"/>
    <xf numFmtId="0" fontId="0" fillId="3" borderId="3" xfId="0" applyFill="1" applyBorder="1"/>
    <xf numFmtId="2" fontId="0" fillId="4" borderId="4" xfId="0" applyNumberFormat="1" applyFont="1" applyFill="1" applyBorder="1"/>
    <xf numFmtId="2" fontId="0" fillId="4" borderId="8" xfId="0" applyNumberFormat="1" applyFont="1" applyFill="1" applyBorder="1"/>
    <xf numFmtId="2" fontId="0" fillId="4" borderId="9" xfId="0" applyNumberFormat="1" applyFont="1" applyFill="1" applyBorder="1"/>
    <xf numFmtId="22" fontId="0" fillId="0" borderId="7" xfId="0" applyNumberFormat="1" applyBorder="1"/>
    <xf numFmtId="0" fontId="0" fillId="5" borderId="4" xfId="0" applyFill="1" applyBorder="1"/>
    <xf numFmtId="0" fontId="0" fillId="5" borderId="10" xfId="0" applyFill="1" applyBorder="1"/>
    <xf numFmtId="0" fontId="0" fillId="5" borderId="9" xfId="0" applyFill="1" applyBorder="1"/>
    <xf numFmtId="2" fontId="0" fillId="0" borderId="7" xfId="0" applyNumberFormat="1" applyFont="1" applyFill="1" applyBorder="1"/>
    <xf numFmtId="2" fontId="0" fillId="0" borderId="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9EDD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ou Peña, Guillermo" id="{DB3B072B-77EB-4CBB-B34A-191E50B9A364}" userId="S::gpou@ofiteco.com::b6e8f51f-6c67-42f8-935b-adeb13ebe17f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6-02-02T22:35:32.43" personId="{DB3B072B-77EB-4CBB-B34A-191E50B9A364}" id="{55FB3767-EDA2-4B14-A126-C611E2B3E671}">
    <text>Pasa de ángulos centesimales (gones) a ángulos radianes.</text>
  </threadedComment>
  <threadedComment ref="E5" dT="2026-02-03T00:39:03.13" personId="{DB3B072B-77EB-4CBB-B34A-191E50B9A364}" id="{7C208064-2371-4AFD-98E8-438E2DD30058}">
    <text>Pasa de ángulos centesimales (gones) a ángulos radianes.</text>
  </threadedComment>
  <threadedComment ref="G8" dT="2026-02-02T21:51:32.37" personId="{DB3B072B-77EB-4CBB-B34A-191E50B9A364}" id="{69CA57D1-862A-4C5C-9CAC-D1598213A680}">
    <text>i = instrumento. Altura de la estación total sobre el suelo. En auscultación casi siempre es 0.</text>
  </threadedComment>
  <threadedComment ref="H8" dT="2026-02-02T21:52:39.42" personId="{DB3B072B-77EB-4CBB-B34A-191E50B9A364}" id="{F47E7725-4A37-42C5-B59C-0F073F4EBC69}">
    <text>m = mira. Altura del jalón, distancia desde el prisma hasta el suelo. En auscultación casi siempre es 0</text>
  </threadedComment>
  <threadedComment ref="O8" dT="2026-02-03T04:18:16.45" personId="{DB3B072B-77EB-4CBB-B34A-191E50B9A364}" id="{28B1BC01-9AB5-4EA9-A2BF-B3A5F651412F}">
    <text>No sé si es al elipsoide, pero el cálculo está bien.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BC45-D4E4-4D57-83C2-37C777479C7F}">
  <dimension ref="A1:Y28"/>
  <sheetViews>
    <sheetView tabSelected="1" zoomScale="85" zoomScaleNormal="85" workbookViewId="0">
      <selection activeCell="P3" sqref="P3"/>
    </sheetView>
  </sheetViews>
  <sheetFormatPr baseColWidth="10" defaultRowHeight="14.4" x14ac:dyDescent="0.3"/>
  <cols>
    <col min="1" max="1" width="14.6640625" bestFit="1" customWidth="1"/>
    <col min="2" max="2" width="12.88671875" bestFit="1" customWidth="1"/>
    <col min="3" max="3" width="14" bestFit="1" customWidth="1"/>
    <col min="4" max="4" width="8.77734375" bestFit="1" customWidth="1"/>
    <col min="5" max="5" width="18.77734375" bestFit="1" customWidth="1"/>
    <col min="6" max="6" width="13.6640625" bestFit="1" customWidth="1"/>
    <col min="7" max="7" width="4.77734375" bestFit="1" customWidth="1"/>
    <col min="8" max="8" width="3.88671875" bestFit="1" customWidth="1"/>
    <col min="9" max="9" width="12.109375" bestFit="1" customWidth="1"/>
    <col min="10" max="10" width="14" bestFit="1" customWidth="1"/>
    <col min="11" max="11" width="12.6640625" bestFit="1" customWidth="1"/>
    <col min="12" max="12" width="25.5546875" style="14" customWidth="1"/>
    <col min="13" max="13" width="14.21875" style="14" bestFit="1" customWidth="1"/>
    <col min="14" max="14" width="6.6640625" style="14" bestFit="1" customWidth="1"/>
    <col min="15" max="15" width="13.88671875" style="14" bestFit="1" customWidth="1"/>
    <col min="16" max="16" width="7.6640625" style="14" bestFit="1" customWidth="1"/>
    <col min="17" max="19" width="12.44140625" style="14" bestFit="1" customWidth="1"/>
    <col min="20" max="20" width="12.44140625" style="14" customWidth="1"/>
    <col min="21" max="21" width="29" style="14" customWidth="1"/>
    <col min="22" max="22" width="11.5546875" style="14"/>
    <col min="23" max="23" width="17.44140625" style="14" customWidth="1"/>
    <col min="24" max="24" width="23.44140625" style="14" customWidth="1"/>
    <col min="25" max="25" width="23.6640625" style="14" customWidth="1"/>
    <col min="26" max="27" width="19.77734375" customWidth="1"/>
    <col min="28" max="28" width="14.77734375" customWidth="1"/>
    <col min="29" max="29" width="21.5546875" customWidth="1"/>
    <col min="30" max="30" width="23.6640625" customWidth="1"/>
    <col min="32" max="32" width="15.109375" customWidth="1"/>
    <col min="37" max="37" width="20.5546875" customWidth="1"/>
    <col min="38" max="38" width="22.6640625" customWidth="1"/>
    <col min="39" max="39" width="21.5546875" customWidth="1"/>
    <col min="40" max="40" width="22.5546875" customWidth="1"/>
    <col min="41" max="42" width="21.77734375" customWidth="1"/>
    <col min="43" max="43" width="20.77734375" customWidth="1"/>
    <col min="45" max="45" width="12.5546875" customWidth="1"/>
    <col min="46" max="46" width="13.5546875" customWidth="1"/>
    <col min="47" max="47" width="14.21875" customWidth="1"/>
    <col min="64" max="64" width="19.33203125" customWidth="1"/>
    <col min="68" max="68" width="19.88671875" customWidth="1"/>
  </cols>
  <sheetData>
    <row r="1" spans="1:25" ht="15" thickBot="1" x14ac:dyDescent="0.35"/>
    <row r="2" spans="1:25" ht="15" thickBot="1" x14ac:dyDescent="0.35">
      <c r="E2" s="43" t="s">
        <v>44</v>
      </c>
      <c r="F2" s="44"/>
      <c r="L2" s="39" t="s">
        <v>43</v>
      </c>
      <c r="M2" s="40"/>
    </row>
    <row r="3" spans="1:25" ht="20.399999999999999" x14ac:dyDescent="0.45">
      <c r="E3" s="41" t="s">
        <v>28</v>
      </c>
      <c r="F3" s="42">
        <f>PI()/200</f>
        <v>1.5707963267948967E-2</v>
      </c>
      <c r="I3" s="33" t="s">
        <v>30</v>
      </c>
      <c r="J3" s="34">
        <v>428254.86437999998</v>
      </c>
      <c r="K3" s="4"/>
      <c r="L3" s="45" t="s">
        <v>36</v>
      </c>
      <c r="M3" s="38">
        <f>0.13</f>
        <v>0.13</v>
      </c>
    </row>
    <row r="4" spans="1:25" ht="37.200000000000003" customHeight="1" x14ac:dyDescent="0.45">
      <c r="E4" s="5" t="s">
        <v>29</v>
      </c>
      <c r="F4" s="13">
        <f>6378000</f>
        <v>6378000</v>
      </c>
      <c r="I4" s="35" t="s">
        <v>31</v>
      </c>
      <c r="J4" s="36">
        <v>4584084.2900099996</v>
      </c>
      <c r="K4" s="4"/>
      <c r="L4" s="46" t="s">
        <v>37</v>
      </c>
      <c r="M4" s="15">
        <v>0.5</v>
      </c>
    </row>
    <row r="5" spans="1:25" ht="20.399999999999999" x14ac:dyDescent="0.45">
      <c r="E5" s="5" t="s">
        <v>38</v>
      </c>
      <c r="F5" s="13">
        <f xml:space="preserve"> 250/81</f>
        <v>3.0864197530864197</v>
      </c>
      <c r="I5" s="33" t="s">
        <v>32</v>
      </c>
      <c r="J5" s="37">
        <v>0.99966334542276292</v>
      </c>
      <c r="K5" s="4"/>
      <c r="P5" s="23" t="s">
        <v>1</v>
      </c>
      <c r="Q5" s="24">
        <f>(M4*F5)^2</f>
        <v>2.3814967230605091</v>
      </c>
    </row>
    <row r="6" spans="1:25" x14ac:dyDescent="0.3">
      <c r="E6" s="2"/>
      <c r="K6" s="4"/>
      <c r="L6" s="16"/>
    </row>
    <row r="8" spans="1:25" s="1" customFormat="1" ht="43.2" x14ac:dyDescent="0.3">
      <c r="A8" s="3" t="s">
        <v>0</v>
      </c>
      <c r="B8" s="11" t="s">
        <v>17</v>
      </c>
      <c r="C8" s="3" t="s">
        <v>18</v>
      </c>
      <c r="D8" s="3" t="s">
        <v>23</v>
      </c>
      <c r="E8" s="3" t="s">
        <v>21</v>
      </c>
      <c r="F8" s="3" t="s">
        <v>22</v>
      </c>
      <c r="G8" s="6" t="s">
        <v>19</v>
      </c>
      <c r="H8" s="6" t="s">
        <v>20</v>
      </c>
      <c r="I8" s="27" t="s">
        <v>24</v>
      </c>
      <c r="J8" s="27" t="s">
        <v>25</v>
      </c>
      <c r="K8" s="27" t="s">
        <v>26</v>
      </c>
      <c r="L8" s="28" t="s">
        <v>27</v>
      </c>
      <c r="M8" s="28" t="s">
        <v>33</v>
      </c>
      <c r="N8" s="28" t="s">
        <v>35</v>
      </c>
      <c r="O8" s="28" t="s">
        <v>41</v>
      </c>
      <c r="P8" s="28" t="s">
        <v>39</v>
      </c>
      <c r="Q8" s="28" t="s">
        <v>40</v>
      </c>
      <c r="S8" s="12"/>
      <c r="T8" s="12"/>
      <c r="V8" s="17"/>
      <c r="W8" s="17"/>
      <c r="X8" s="17"/>
      <c r="Y8" s="17"/>
    </row>
    <row r="9" spans="1:25" x14ac:dyDescent="0.3">
      <c r="A9" s="7" t="s">
        <v>2</v>
      </c>
      <c r="B9" s="8">
        <v>428175.22878</v>
      </c>
      <c r="C9" s="8">
        <v>4584168.0055499999</v>
      </c>
      <c r="D9" s="8">
        <v>43.506659999999997</v>
      </c>
      <c r="E9" s="9">
        <v>116.2512</v>
      </c>
      <c r="F9" s="9">
        <v>103.5723</v>
      </c>
      <c r="G9" s="10">
        <v>0</v>
      </c>
      <c r="H9" s="10">
        <v>0</v>
      </c>
      <c r="I9" s="29">
        <f>B9-$J$3</f>
        <v>-79.635599999979604</v>
      </c>
      <c r="J9" s="29">
        <f>C9-$J$4</f>
        <v>83.715540000237525</v>
      </c>
      <c r="K9" s="30">
        <f>SQRT(SUMSQ(I9:J9))</f>
        <v>115.54272121119583</v>
      </c>
      <c r="L9" s="31">
        <f>K9/$J$5</f>
        <v>115.58163229675306</v>
      </c>
      <c r="M9" s="31">
        <f>L9*COS(F9*$F$3)+(G9-H9)+(0.5-$M$3)*L9^2/$F$4</f>
        <v>-6.4815184618359734</v>
      </c>
      <c r="N9" s="32">
        <f>D9-M9</f>
        <v>49.988178461835972</v>
      </c>
      <c r="O9" s="31">
        <f>L9*($N$25+$F$4)/$F$4</f>
        <v>115.582536554474</v>
      </c>
      <c r="P9" s="31">
        <f>O9*COS(F9*$F$3)+(G9-H9)+(0.5-$M$3)*O9^2/$F$4</f>
        <v>-6.4815691642027931</v>
      </c>
      <c r="Q9" s="31">
        <f>D9-P9</f>
        <v>49.988229164202792</v>
      </c>
      <c r="R9" s="18"/>
      <c r="S9" s="18"/>
      <c r="T9" s="18"/>
    </row>
    <row r="10" spans="1:25" x14ac:dyDescent="0.3">
      <c r="A10" s="7" t="s">
        <v>3</v>
      </c>
      <c r="B10" s="8">
        <v>428167.65240999998</v>
      </c>
      <c r="C10" s="8">
        <v>4584173.6505699996</v>
      </c>
      <c r="D10" s="8">
        <v>43.799480000000003</v>
      </c>
      <c r="E10" s="9">
        <v>115.4362</v>
      </c>
      <c r="F10" s="9">
        <v>103.1571</v>
      </c>
      <c r="G10" s="10">
        <v>0</v>
      </c>
      <c r="H10" s="10">
        <v>0</v>
      </c>
      <c r="I10" s="29">
        <f>B10-$J$3</f>
        <v>-87.21197000000393</v>
      </c>
      <c r="J10" s="29">
        <f>C10-$J$4</f>
        <v>89.36055999994278</v>
      </c>
      <c r="K10" s="30">
        <f t="shared" ref="K10:K23" si="0">SQRT(SUMSQ(I10:J10))</f>
        <v>124.86487654574829</v>
      </c>
      <c r="L10" s="31">
        <f>K10/$J$5</f>
        <v>124.90692703446305</v>
      </c>
      <c r="M10" s="31">
        <f t="shared" ref="M10:M23" si="1">L10*COS(F10*$F$3)+(G10-H10)+(0.5-$M$3)*L10^2/$F$4</f>
        <v>-6.1908919574678896</v>
      </c>
      <c r="N10" s="32">
        <f t="shared" ref="N10:N22" si="2">D10-M10</f>
        <v>49.990371957467893</v>
      </c>
      <c r="O10" s="31">
        <f>L10*($N$25+$F$4)/$F$4</f>
        <v>124.9079042490163</v>
      </c>
      <c r="P10" s="31">
        <f>O10*COS(F10*$F$3)+(G10-H10)+(0.5-$M$3)*O10^2/$F$4</f>
        <v>-6.1909403850882878</v>
      </c>
      <c r="Q10" s="31">
        <f t="shared" ref="Q10:Q23" si="3">D10-P10</f>
        <v>49.990420385088292</v>
      </c>
      <c r="R10" s="18"/>
      <c r="S10" s="18"/>
      <c r="T10" s="18"/>
    </row>
    <row r="11" spans="1:25" x14ac:dyDescent="0.3">
      <c r="A11" s="7" t="s">
        <v>4</v>
      </c>
      <c r="B11" s="8">
        <v>428174.88328000001</v>
      </c>
      <c r="C11" s="8">
        <v>4584119.5064399997</v>
      </c>
      <c r="D11" s="8">
        <v>28.489470000000001</v>
      </c>
      <c r="E11" s="9">
        <v>91.066599999999994</v>
      </c>
      <c r="F11" s="9">
        <v>115.3586</v>
      </c>
      <c r="G11" s="10">
        <v>0</v>
      </c>
      <c r="H11" s="10">
        <v>0</v>
      </c>
      <c r="I11" s="29">
        <f>B11-$J$3</f>
        <v>-79.981099999975413</v>
      </c>
      <c r="J11" s="29">
        <f>C11-$J$4</f>
        <v>35.216430000029504</v>
      </c>
      <c r="K11" s="30">
        <f t="shared" si="0"/>
        <v>87.390922292610256</v>
      </c>
      <c r="L11" s="31">
        <f>K11/$J$5</f>
        <v>87.420352754508741</v>
      </c>
      <c r="M11" s="31">
        <f t="shared" si="1"/>
        <v>-20.8859285670136</v>
      </c>
      <c r="N11" s="32">
        <f t="shared" si="2"/>
        <v>49.375398567013605</v>
      </c>
      <c r="O11" s="31">
        <f>L11*($N$25+$F$4)/$F$4</f>
        <v>87.421036691284641</v>
      </c>
      <c r="P11" s="31">
        <f t="shared" ref="P11:P23" si="4">O11*COS(F11*$F$3)+(G11-H11)+(0.5-$M$3)*O11^2/$F$4</f>
        <v>-20.886091965478297</v>
      </c>
      <c r="Q11" s="31">
        <f t="shared" si="3"/>
        <v>49.375561965478298</v>
      </c>
      <c r="R11" s="18"/>
      <c r="S11" s="18"/>
      <c r="T11" s="18"/>
    </row>
    <row r="12" spans="1:25" x14ac:dyDescent="0.3">
      <c r="A12" s="7" t="s">
        <v>5</v>
      </c>
      <c r="B12" s="8">
        <v>428127.43255999999</v>
      </c>
      <c r="C12" s="8">
        <v>4584123.2890999997</v>
      </c>
      <c r="D12" s="8">
        <v>33.428699999999999</v>
      </c>
      <c r="E12" s="9">
        <v>83.5685</v>
      </c>
      <c r="F12" s="9">
        <v>107.8728</v>
      </c>
      <c r="G12" s="10">
        <v>0</v>
      </c>
      <c r="H12" s="10">
        <v>0</v>
      </c>
      <c r="I12" s="29">
        <f>B12-$J$3</f>
        <v>-127.43181999999797</v>
      </c>
      <c r="J12" s="29">
        <f>C12-$J$4</f>
        <v>38.99909000005573</v>
      </c>
      <c r="K12" s="30">
        <f t="shared" si="0"/>
        <v>133.26589124507564</v>
      </c>
      <c r="L12" s="31">
        <f>K12/$J$5</f>
        <v>133.31077092630298</v>
      </c>
      <c r="M12" s="31">
        <f t="shared" si="1"/>
        <v>-16.442944207135522</v>
      </c>
      <c r="N12" s="32">
        <f t="shared" si="2"/>
        <v>49.871644207135517</v>
      </c>
      <c r="O12" s="31">
        <f>L12*($N$25+$F$4)/$F$4</f>
        <v>133.31181388867944</v>
      </c>
      <c r="P12" s="31">
        <f t="shared" si="4"/>
        <v>-16.443072841129396</v>
      </c>
      <c r="Q12" s="31">
        <f t="shared" si="3"/>
        <v>49.871772841129399</v>
      </c>
      <c r="R12" s="18"/>
      <c r="S12" s="18"/>
      <c r="T12" s="18"/>
    </row>
    <row r="13" spans="1:25" x14ac:dyDescent="0.3">
      <c r="A13" s="7" t="s">
        <v>6</v>
      </c>
      <c r="B13" s="8">
        <v>428127.43706999999</v>
      </c>
      <c r="C13" s="8">
        <v>4584123.2601699997</v>
      </c>
      <c r="D13" s="8">
        <v>36.62968</v>
      </c>
      <c r="E13" s="9">
        <v>83.555899999999994</v>
      </c>
      <c r="F13" s="9">
        <v>106.364</v>
      </c>
      <c r="G13" s="10">
        <v>0</v>
      </c>
      <c r="H13" s="10">
        <v>0</v>
      </c>
      <c r="I13" s="29">
        <f>B13-$J$3</f>
        <v>-127.42730999999912</v>
      </c>
      <c r="J13" s="29">
        <f>C13-$J$4</f>
        <v>38.970160000026226</v>
      </c>
      <c r="K13" s="30">
        <f t="shared" si="0"/>
        <v>133.25311517658236</v>
      </c>
      <c r="L13" s="31">
        <f>K13/$J$5</f>
        <v>133.29799055523929</v>
      </c>
      <c r="M13" s="31">
        <f t="shared" si="1"/>
        <v>-13.301984352714534</v>
      </c>
      <c r="N13" s="32">
        <f t="shared" si="2"/>
        <v>49.931664352714535</v>
      </c>
      <c r="O13" s="31">
        <f>L13*($N$25+$F$4)/$F$4</f>
        <v>133.29903341762798</v>
      </c>
      <c r="P13" s="31">
        <f t="shared" si="4"/>
        <v>-13.302088413279531</v>
      </c>
      <c r="Q13" s="31">
        <f t="shared" si="3"/>
        <v>49.931768413279528</v>
      </c>
      <c r="R13" s="18"/>
      <c r="S13" s="18"/>
      <c r="T13" s="18"/>
    </row>
    <row r="14" spans="1:25" x14ac:dyDescent="0.3">
      <c r="A14" s="7" t="s">
        <v>7</v>
      </c>
      <c r="B14" s="8">
        <v>428127.90756999998</v>
      </c>
      <c r="C14" s="8">
        <v>4584114.3810200002</v>
      </c>
      <c r="D14" s="8">
        <v>36.618479999999998</v>
      </c>
      <c r="E14" s="9">
        <v>79.4773</v>
      </c>
      <c r="F14" s="9">
        <v>106.504</v>
      </c>
      <c r="G14" s="10">
        <v>0</v>
      </c>
      <c r="H14" s="10">
        <v>0</v>
      </c>
      <c r="I14" s="29">
        <f>B14-$J$3</f>
        <v>-126.95681000000332</v>
      </c>
      <c r="J14" s="29">
        <f>C14-$J$4</f>
        <v>30.091010000556707</v>
      </c>
      <c r="K14" s="30">
        <f t="shared" si="0"/>
        <v>130.47413723888175</v>
      </c>
      <c r="L14" s="31">
        <f>K14/$J$5</f>
        <v>130.51807674683076</v>
      </c>
      <c r="M14" s="31">
        <f t="shared" si="1"/>
        <v>-13.310153670996899</v>
      </c>
      <c r="N14" s="32">
        <f t="shared" si="2"/>
        <v>49.928633670996895</v>
      </c>
      <c r="O14" s="31">
        <f>L14*($N$25+$F$4)/$F$4</f>
        <v>130.5190978604478</v>
      </c>
      <c r="P14" s="31">
        <f t="shared" si="4"/>
        <v>-13.31025779580775</v>
      </c>
      <c r="Q14" s="31">
        <f t="shared" si="3"/>
        <v>49.928737795807749</v>
      </c>
      <c r="R14" s="18"/>
      <c r="S14" s="18"/>
      <c r="T14" s="18"/>
    </row>
    <row r="15" spans="1:25" x14ac:dyDescent="0.3">
      <c r="A15" s="7" t="s">
        <v>8</v>
      </c>
      <c r="B15" s="8">
        <v>428150.33458999998</v>
      </c>
      <c r="C15" s="8">
        <v>4584125.8044299996</v>
      </c>
      <c r="D15" s="8">
        <v>34.621569999999998</v>
      </c>
      <c r="E15" s="9">
        <v>88.729100000000003</v>
      </c>
      <c r="F15" s="9">
        <v>108.64749999999999</v>
      </c>
      <c r="G15" s="10">
        <v>0</v>
      </c>
      <c r="H15" s="10">
        <v>0</v>
      </c>
      <c r="I15" s="29">
        <f>B15-$J$3</f>
        <v>-104.5297900000005</v>
      </c>
      <c r="J15" s="29">
        <f>C15-$J$4</f>
        <v>41.514419999904931</v>
      </c>
      <c r="K15" s="30">
        <f t="shared" si="0"/>
        <v>112.47188122091988</v>
      </c>
      <c r="L15" s="31">
        <f>K15/$J$5</f>
        <v>112.50975814598357</v>
      </c>
      <c r="M15" s="31">
        <f t="shared" si="1"/>
        <v>-15.235031365907846</v>
      </c>
      <c r="N15" s="32">
        <f t="shared" si="2"/>
        <v>49.856601365907842</v>
      </c>
      <c r="O15" s="31">
        <f>L15*($N$25+$F$4)/$F$4</f>
        <v>112.51063837076897</v>
      </c>
      <c r="P15" s="31">
        <f t="shared" si="4"/>
        <v>-15.235150552065967</v>
      </c>
      <c r="Q15" s="31">
        <f t="shared" si="3"/>
        <v>49.856720552065966</v>
      </c>
      <c r="R15" s="18"/>
      <c r="S15" s="18"/>
      <c r="T15" s="18"/>
    </row>
    <row r="16" spans="1:25" x14ac:dyDescent="0.3">
      <c r="A16" s="7" t="s">
        <v>9</v>
      </c>
      <c r="B16" s="8">
        <v>428219.99187000003</v>
      </c>
      <c r="C16" s="8">
        <v>4584146.9575300002</v>
      </c>
      <c r="D16" s="8">
        <v>42.763179999999998</v>
      </c>
      <c r="E16" s="9">
        <v>132.33430000000001</v>
      </c>
      <c r="F16" s="9">
        <v>106.3989</v>
      </c>
      <c r="G16" s="10">
        <v>0</v>
      </c>
      <c r="H16" s="10">
        <v>0</v>
      </c>
      <c r="I16" s="29">
        <f>B16-$J$3</f>
        <v>-34.872509999957401</v>
      </c>
      <c r="J16" s="29">
        <f>C16-$J$4</f>
        <v>62.667520000599325</v>
      </c>
      <c r="K16" s="30">
        <f t="shared" si="0"/>
        <v>71.716874002724396</v>
      </c>
      <c r="L16" s="31">
        <f>K16/$J$5</f>
        <v>71.741025947485298</v>
      </c>
      <c r="M16" s="31">
        <f t="shared" si="1"/>
        <v>-7.1985204766914048</v>
      </c>
      <c r="N16" s="32">
        <f t="shared" si="2"/>
        <v>49.961700476691405</v>
      </c>
      <c r="O16" s="31">
        <f>L16*($N$25+$F$4)/$F$4</f>
        <v>71.741587216393967</v>
      </c>
      <c r="P16" s="31">
        <f t="shared" si="4"/>
        <v>-7.1985767922806634</v>
      </c>
      <c r="Q16" s="31">
        <f t="shared" si="3"/>
        <v>49.96175679228066</v>
      </c>
      <c r="R16" s="18"/>
      <c r="S16" s="18"/>
      <c r="T16" s="18"/>
    </row>
    <row r="17" spans="1:20" x14ac:dyDescent="0.3">
      <c r="A17" s="7" t="s">
        <v>10</v>
      </c>
      <c r="B17" s="8">
        <v>428240.08773000003</v>
      </c>
      <c r="C17" s="8">
        <v>4584136.7684500003</v>
      </c>
      <c r="D17" s="8">
        <v>40.859639999999999</v>
      </c>
      <c r="E17" s="9">
        <v>147.1884</v>
      </c>
      <c r="F17" s="9">
        <v>110.56959999999999</v>
      </c>
      <c r="G17" s="10">
        <v>0</v>
      </c>
      <c r="H17" s="10">
        <v>0</v>
      </c>
      <c r="I17" s="29">
        <f>B17-$J$3</f>
        <v>-14.776649999956135</v>
      </c>
      <c r="J17" s="29">
        <f>C17-$J$4</f>
        <v>52.478440000675619</v>
      </c>
      <c r="K17" s="30">
        <f t="shared" si="0"/>
        <v>54.519134715489699</v>
      </c>
      <c r="L17" s="31">
        <f>K17/$J$5</f>
        <v>54.537495012816805</v>
      </c>
      <c r="M17" s="31">
        <f t="shared" si="1"/>
        <v>-9.0129767064832933</v>
      </c>
      <c r="N17" s="32">
        <f t="shared" si="2"/>
        <v>49.872616706483292</v>
      </c>
      <c r="O17" s="31">
        <f>L17*($N$25+$F$4)/$F$4</f>
        <v>54.537921689183676</v>
      </c>
      <c r="P17" s="31">
        <f t="shared" si="4"/>
        <v>-9.0130472185325292</v>
      </c>
      <c r="Q17" s="31">
        <f t="shared" si="3"/>
        <v>49.872687218532526</v>
      </c>
      <c r="R17" s="18"/>
      <c r="S17" s="18"/>
      <c r="T17" s="18"/>
    </row>
    <row r="18" spans="1:20" x14ac:dyDescent="0.3">
      <c r="A18" s="7" t="s">
        <v>11</v>
      </c>
      <c r="B18" s="8">
        <v>428253.93044999999</v>
      </c>
      <c r="C18" s="8">
        <v>4584130.4083200004</v>
      </c>
      <c r="D18" s="8">
        <v>40.885280000000002</v>
      </c>
      <c r="E18" s="9">
        <v>163.37260000000001</v>
      </c>
      <c r="F18" s="9">
        <v>112.4131</v>
      </c>
      <c r="G18" s="10">
        <v>0</v>
      </c>
      <c r="H18" s="10">
        <v>0</v>
      </c>
      <c r="I18" s="29">
        <f>B18-$J$3</f>
        <v>-0.93392999999923632</v>
      </c>
      <c r="J18" s="29">
        <f>C18-$J$4</f>
        <v>46.118310000747442</v>
      </c>
      <c r="K18" s="30">
        <f t="shared" si="0"/>
        <v>46.127765419212977</v>
      </c>
      <c r="L18" s="31">
        <f>K18/$J$5</f>
        <v>46.143299772290142</v>
      </c>
      <c r="M18" s="31">
        <f t="shared" si="1"/>
        <v>-8.9402029752145999</v>
      </c>
      <c r="N18" s="32">
        <f t="shared" si="2"/>
        <v>49.825482975214598</v>
      </c>
      <c r="O18" s="31">
        <f>L18*($N$25+$F$4)/$F$4</f>
        <v>46.143660776320445</v>
      </c>
      <c r="P18" s="31">
        <f t="shared" si="4"/>
        <v>-8.9402729182990885</v>
      </c>
      <c r="Q18" s="31">
        <f t="shared" si="3"/>
        <v>49.825552918299088</v>
      </c>
      <c r="R18" s="18"/>
      <c r="S18" s="18"/>
      <c r="T18" s="18"/>
    </row>
    <row r="19" spans="1:20" x14ac:dyDescent="0.3">
      <c r="A19" s="7" t="s">
        <v>12</v>
      </c>
      <c r="B19" s="8">
        <v>428272.84479</v>
      </c>
      <c r="C19" s="8">
        <v>4584095.1061899997</v>
      </c>
      <c r="D19" s="8">
        <v>49.770299999999999</v>
      </c>
      <c r="E19" s="9">
        <v>230.18459999999999</v>
      </c>
      <c r="F19" s="9">
        <v>100.69119999999999</v>
      </c>
      <c r="G19" s="10">
        <v>0</v>
      </c>
      <c r="H19" s="10">
        <v>0</v>
      </c>
      <c r="I19" s="29">
        <f>B19-$J$3</f>
        <v>17.98041000001831</v>
      </c>
      <c r="J19" s="29">
        <f>C19-$J$4</f>
        <v>10.816180000081658</v>
      </c>
      <c r="K19" s="30">
        <f t="shared" si="0"/>
        <v>20.982966748363417</v>
      </c>
      <c r="L19" s="31">
        <f>K19/$J$5</f>
        <v>20.990033139096052</v>
      </c>
      <c r="M19" s="31">
        <f t="shared" si="1"/>
        <v>-0.22786597836725858</v>
      </c>
      <c r="N19" s="32">
        <f t="shared" si="2"/>
        <v>49.998165978367254</v>
      </c>
      <c r="O19" s="31">
        <f>L19*($N$25+$F$4)/$F$4</f>
        <v>20.990197355495766</v>
      </c>
      <c r="P19" s="31">
        <f t="shared" si="4"/>
        <v>-0.22786776088628086</v>
      </c>
      <c r="Q19" s="31">
        <f t="shared" si="3"/>
        <v>49.998167760886282</v>
      </c>
      <c r="R19" s="18"/>
      <c r="S19" s="18"/>
      <c r="T19" s="18"/>
    </row>
    <row r="20" spans="1:20" x14ac:dyDescent="0.3">
      <c r="A20" s="7" t="s">
        <v>13</v>
      </c>
      <c r="B20" s="8">
        <v>428276.60668999999</v>
      </c>
      <c r="C20" s="8">
        <v>4584088.0485800002</v>
      </c>
      <c r="D20" s="8">
        <v>51.76567</v>
      </c>
      <c r="E20" s="9">
        <v>253.76410000000001</v>
      </c>
      <c r="F20" s="9">
        <v>94.912999999999997</v>
      </c>
      <c r="G20" s="10">
        <v>0</v>
      </c>
      <c r="H20" s="10">
        <v>0</v>
      </c>
      <c r="I20" s="29">
        <f>B20-$J$3</f>
        <v>21.742310000001453</v>
      </c>
      <c r="J20" s="29">
        <f>C20-$J$4</f>
        <v>3.7585700005292892</v>
      </c>
      <c r="K20" s="30">
        <f t="shared" si="0"/>
        <v>22.064788523460674</v>
      </c>
      <c r="L20" s="31">
        <f>K20/$J$5</f>
        <v>22.072219237096622</v>
      </c>
      <c r="M20" s="31">
        <f t="shared" si="1"/>
        <v>1.7618637492515898</v>
      </c>
      <c r="N20" s="32">
        <f t="shared" si="2"/>
        <v>50.003806250748411</v>
      </c>
      <c r="O20" s="31">
        <f>L20*($N$25+$F$4)/$F$4</f>
        <v>22.072391920024408</v>
      </c>
      <c r="P20" s="31">
        <f t="shared" si="4"/>
        <v>1.7618775334872296</v>
      </c>
      <c r="Q20" s="31">
        <f t="shared" si="3"/>
        <v>50.00379246651277</v>
      </c>
      <c r="R20" s="18"/>
      <c r="S20" s="18"/>
      <c r="T20" s="18"/>
    </row>
    <row r="21" spans="1:20" x14ac:dyDescent="0.3">
      <c r="A21" s="7" t="s">
        <v>14</v>
      </c>
      <c r="B21" s="8">
        <v>428259.85781999998</v>
      </c>
      <c r="C21" s="8">
        <v>4584077.9289199999</v>
      </c>
      <c r="D21" s="8">
        <v>49.77234</v>
      </c>
      <c r="E21" s="9">
        <v>322.29259999999999</v>
      </c>
      <c r="F21" s="9">
        <v>101.777</v>
      </c>
      <c r="G21" s="10">
        <v>0</v>
      </c>
      <c r="H21" s="10">
        <v>0</v>
      </c>
      <c r="I21" s="29">
        <f>B21-$J$3</f>
        <v>4.9934399999910966</v>
      </c>
      <c r="J21" s="29">
        <f>C21-$J$4</f>
        <v>-6.3610899997875094</v>
      </c>
      <c r="K21" s="30">
        <f t="shared" si="0"/>
        <v>8.0868973666609456</v>
      </c>
      <c r="L21" s="31">
        <f>K21/$J$5</f>
        <v>8.0896207745228015</v>
      </c>
      <c r="M21" s="31">
        <f t="shared" si="1"/>
        <v>-0.22577287741753124</v>
      </c>
      <c r="N21" s="32">
        <f t="shared" si="2"/>
        <v>49.998112877417533</v>
      </c>
      <c r="O21" s="31">
        <f>L21*($N$25+$F$4)/$F$4</f>
        <v>8.0896840640083312</v>
      </c>
      <c r="P21" s="31">
        <f t="shared" si="4"/>
        <v>-0.22577464373135259</v>
      </c>
      <c r="Q21" s="31">
        <f t="shared" si="3"/>
        <v>49.998114643731355</v>
      </c>
      <c r="R21" s="18"/>
      <c r="S21" s="18"/>
      <c r="T21" s="18"/>
    </row>
    <row r="22" spans="1:20" x14ac:dyDescent="0.3">
      <c r="A22" s="7" t="s">
        <v>15</v>
      </c>
      <c r="B22" s="8">
        <v>428268.95672000002</v>
      </c>
      <c r="C22" s="8">
        <v>4584021.1174299996</v>
      </c>
      <c r="D22" s="8">
        <v>42.242699999999999</v>
      </c>
      <c r="E22" s="9">
        <v>350.68889999999999</v>
      </c>
      <c r="F22" s="9">
        <v>107.58969999999999</v>
      </c>
      <c r="G22" s="10">
        <v>0</v>
      </c>
      <c r="H22" s="10">
        <v>0</v>
      </c>
      <c r="I22" s="29">
        <f>B22-$J$3</f>
        <v>14.092340000031982</v>
      </c>
      <c r="J22" s="29">
        <f>C22-$J$4</f>
        <v>-63.172580000013113</v>
      </c>
      <c r="K22" s="30">
        <f t="shared" si="0"/>
        <v>64.725334379472756</v>
      </c>
      <c r="L22" s="31">
        <f>K22/$J$5</f>
        <v>64.747131797755443</v>
      </c>
      <c r="M22" s="31">
        <f t="shared" si="1"/>
        <v>-7.700555212902362</v>
      </c>
      <c r="N22" s="32">
        <f t="shared" si="2"/>
        <v>49.943255212902358</v>
      </c>
      <c r="O22" s="31">
        <f>L22*($N$25+$F$4)/$F$4</f>
        <v>64.74763834964152</v>
      </c>
      <c r="P22" s="31">
        <f t="shared" si="4"/>
        <v>-7.7006154566145666</v>
      </c>
      <c r="Q22" s="31">
        <f t="shared" si="3"/>
        <v>49.943315456614563</v>
      </c>
      <c r="R22" s="18"/>
      <c r="S22" s="18"/>
      <c r="T22" s="18"/>
    </row>
    <row r="23" spans="1:20" x14ac:dyDescent="0.3">
      <c r="A23" s="7" t="s">
        <v>16</v>
      </c>
      <c r="B23" s="8">
        <v>428266.30794000003</v>
      </c>
      <c r="C23" s="8">
        <v>4584026.2457400002</v>
      </c>
      <c r="D23" s="8">
        <v>42.252249999999997</v>
      </c>
      <c r="E23" s="9">
        <v>352.26929999999999</v>
      </c>
      <c r="F23" s="9">
        <v>108.2854</v>
      </c>
      <c r="G23" s="10">
        <v>0</v>
      </c>
      <c r="H23" s="10">
        <v>0</v>
      </c>
      <c r="I23" s="29">
        <f>B23-$J$3</f>
        <v>11.443560000043362</v>
      </c>
      <c r="J23" s="29">
        <f>C23-$J$4</f>
        <v>-58.044269999489188</v>
      </c>
      <c r="K23" s="30">
        <f t="shared" si="0"/>
        <v>59.161578285642392</v>
      </c>
      <c r="L23" s="31">
        <f>K23/$J$5</f>
        <v>59.18150200918155</v>
      </c>
      <c r="M23" s="31">
        <f t="shared" si="1"/>
        <v>-7.6803521267825179</v>
      </c>
      <c r="N23" s="32">
        <f>D23-M23</f>
        <v>49.932602126782513</v>
      </c>
      <c r="O23" s="31">
        <f>L23*($N$25+$F$4)/$F$4</f>
        <v>59.181965018130853</v>
      </c>
      <c r="P23" s="31">
        <f t="shared" si="4"/>
        <v>-7.6804122127480836</v>
      </c>
      <c r="Q23" s="31">
        <f>D23-P23</f>
        <v>49.932662212748077</v>
      </c>
      <c r="R23" s="18"/>
      <c r="S23" s="18"/>
      <c r="T23" s="18"/>
    </row>
    <row r="24" spans="1:20" x14ac:dyDescent="0.3">
      <c r="E24" s="2"/>
    </row>
    <row r="25" spans="1:20" x14ac:dyDescent="0.3">
      <c r="E25" s="2"/>
      <c r="M25" s="19" t="s">
        <v>34</v>
      </c>
      <c r="N25" s="20">
        <f>AVERAGE(N9:N23)</f>
        <v>49.898549012511985</v>
      </c>
    </row>
    <row r="26" spans="1:20" x14ac:dyDescent="0.3">
      <c r="P26" s="22"/>
    </row>
    <row r="27" spans="1:20" ht="15.6" x14ac:dyDescent="0.35">
      <c r="O27" s="25" t="s">
        <v>42</v>
      </c>
      <c r="P27" s="26">
        <f>(SUM(Q9:Q23)/Q5)/((1/Q5)*COUNT(Q9:Q23))</f>
        <v>49.898617372443816</v>
      </c>
    </row>
    <row r="28" spans="1:20" x14ac:dyDescent="0.3">
      <c r="L28" s="21"/>
      <c r="M28" s="21"/>
    </row>
  </sheetData>
  <phoneticPr fontId="2" type="noConversion"/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35fc9766-ae04-4cb0-889f-359d312f8c35}" enabled="0" method="" siteId="{35fc9766-ae04-4cb0-889f-359d312f8c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Cálculo Zest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Bravo, Adrián</dc:creator>
  <cp:lastModifiedBy>Pou Peña, Guillermo</cp:lastModifiedBy>
  <dcterms:created xsi:type="dcterms:W3CDTF">2025-11-25T10:53:52Z</dcterms:created>
  <dcterms:modified xsi:type="dcterms:W3CDTF">2026-02-03T04:22:33Z</dcterms:modified>
</cp:coreProperties>
</file>