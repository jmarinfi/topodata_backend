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ou\NAS\_DePaso\Ajustes topografía\Problema 03 Ajuste conjunto de 2 estacionamientos\"/>
    </mc:Choice>
  </mc:AlternateContent>
  <xr:revisionPtr revIDLastSave="0" documentId="13_ncr:1_{60F23A34-625B-4E90-ABD9-93EEB02922C0}" xr6:coauthVersionLast="47" xr6:coauthVersionMax="47" xr10:uidLastSave="{00000000-0000-0000-0000-000000000000}"/>
  <bookViews>
    <workbookView xWindow="-108" yWindow="-108" windowWidth="23256" windowHeight="12456" xr2:uid="{55901409-FE48-4B62-BED5-462D43EC8893}"/>
  </bookViews>
  <sheets>
    <sheet name="Cálculo Desorient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22" i="1" l="1"/>
  <c r="F22" i="1"/>
  <c r="G22" i="1" l="1"/>
  <c r="E8" i="1"/>
  <c r="F8" i="1"/>
  <c r="G8" i="1" s="1"/>
  <c r="H8" i="1" s="1"/>
  <c r="I8" i="1" s="1"/>
  <c r="J8" i="1" s="1"/>
  <c r="E9" i="1"/>
  <c r="F9" i="1"/>
  <c r="E10" i="1"/>
  <c r="F10" i="1"/>
  <c r="E11" i="1"/>
  <c r="F11" i="1"/>
  <c r="G11" i="1" s="1"/>
  <c r="H11" i="1" s="1"/>
  <c r="I11" i="1" s="1"/>
  <c r="J11" i="1" s="1"/>
  <c r="E12" i="1"/>
  <c r="F12" i="1"/>
  <c r="G12" i="1" s="1"/>
  <c r="H12" i="1" s="1"/>
  <c r="I12" i="1" s="1"/>
  <c r="J12" i="1" s="1"/>
  <c r="E13" i="1"/>
  <c r="F13" i="1"/>
  <c r="E14" i="1"/>
  <c r="F14" i="1"/>
  <c r="E15" i="1"/>
  <c r="F15" i="1"/>
  <c r="G15" i="1" s="1"/>
  <c r="H15" i="1" s="1"/>
  <c r="I15" i="1" s="1"/>
  <c r="J15" i="1" s="1"/>
  <c r="E16" i="1"/>
  <c r="F16" i="1"/>
  <c r="G16" i="1" s="1"/>
  <c r="H16" i="1" s="1"/>
  <c r="I16" i="1" s="1"/>
  <c r="J16" i="1" s="1"/>
  <c r="E17" i="1"/>
  <c r="F17" i="1"/>
  <c r="E18" i="1"/>
  <c r="F18" i="1"/>
  <c r="E19" i="1"/>
  <c r="F19" i="1"/>
  <c r="G19" i="1" s="1"/>
  <c r="H19" i="1" s="1"/>
  <c r="I19" i="1" s="1"/>
  <c r="J19" i="1" s="1"/>
  <c r="E20" i="1"/>
  <c r="F20" i="1"/>
  <c r="E21" i="1"/>
  <c r="F21" i="1"/>
  <c r="F7" i="1"/>
  <c r="E7" i="1"/>
  <c r="G21" i="1" l="1"/>
  <c r="H21" i="1" s="1"/>
  <c r="I21" i="1" s="1"/>
  <c r="J21" i="1" s="1"/>
  <c r="G17" i="1"/>
  <c r="H17" i="1" s="1"/>
  <c r="I17" i="1" s="1"/>
  <c r="J17" i="1" s="1"/>
  <c r="G13" i="1"/>
  <c r="H13" i="1" s="1"/>
  <c r="I13" i="1" s="1"/>
  <c r="J13" i="1" s="1"/>
  <c r="G9" i="1"/>
  <c r="H9" i="1" s="1"/>
  <c r="I9" i="1" s="1"/>
  <c r="J9" i="1" s="1"/>
  <c r="G7" i="1"/>
  <c r="H7" i="1" s="1"/>
  <c r="I7" i="1" s="1"/>
  <c r="J7" i="1" s="1"/>
  <c r="G18" i="1"/>
  <c r="H18" i="1" s="1"/>
  <c r="I18" i="1" s="1"/>
  <c r="J18" i="1" s="1"/>
  <c r="G14" i="1"/>
  <c r="H14" i="1" s="1"/>
  <c r="I14" i="1" s="1"/>
  <c r="J14" i="1" s="1"/>
  <c r="G10" i="1"/>
  <c r="H10" i="1" s="1"/>
  <c r="I10" i="1" s="1"/>
  <c r="J10" i="1" s="1"/>
  <c r="G20" i="1"/>
  <c r="H20" i="1" s="1"/>
  <c r="I20" i="1" s="1"/>
  <c r="J20" i="1" s="1"/>
  <c r="J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tc={280C75AB-E0C7-44C9-BBEB-E750D3B3833D}</author>
    <author>tc={34804D18-0A24-4B1C-B90D-73FC9CB64A98}</author>
    <author>tc={58CD14AD-F7EF-4EA9-9C90-EE918AAAA32E}</author>
    <author>tc={09467A58-BF5B-4537-B0D9-DF0A1A0DBA83}</author>
  </authors>
  <commentList>
    <comment ref="B3" authorId="0" shapeId="0" xr:uid="{280C75AB-E0C7-44C9-BBEB-E750D3B383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radianes a ángulos centesimales (gon).</t>
      </text>
    </comment>
    <comment ref="A6" authorId="1" shapeId="0" xr:uid="{34804D18-0A24-4B1C-B90D-73FC9CB64A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habría que utilizar los puntos de color rojo, porque son puntos de control. A la hora de calcular la desorientación se desconocen las coordenadas de los puntos de control. En este caso he incluido los puntos de control para tener más datos de prueba.</t>
      </text>
    </comment>
    <comment ref="G6" authorId="2" shapeId="0" xr:uid="{58CD14AD-F7EF-4EA9-9C90-EE918AAAA3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ChatGPT, en JavaScript existe una función equivalente a “ATAN2”: Math.atan2(y, x)
Respuesta:
    Si “ΔX” y “ΔY” son ambos 0, el acimut debe ser 0. Ver fila 24 donde la fórmula da error.</t>
      </text>
    </comment>
    <comment ref="I24" authorId="3" shapeId="0" xr:uid="{09467A58-BF5B-4537-B0D9-DF0A1A0DBA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en un gka hay 4 ciclos de lectura, se deben calcular 4 desorientaciones. Igual que con las coordenadas del estacionamiento, un cálculo por cada ciclado.</t>
      </text>
    </comment>
  </commentList>
</comments>
</file>

<file path=xl/sharedStrings.xml><?xml version="1.0" encoding="utf-8"?>
<sst xmlns="http://schemas.openxmlformats.org/spreadsheetml/2006/main" count="32" uniqueCount="32">
  <si>
    <t>Punto Visado</t>
  </si>
  <si>
    <t>C55-R-01E-C</t>
  </si>
  <si>
    <t>C55-R-02E-C</t>
  </si>
  <si>
    <t>C56-058-014-20</t>
  </si>
  <si>
    <t>C56-058-024-10</t>
  </si>
  <si>
    <t>C56-058-024-20</t>
  </si>
  <si>
    <t>C56-058-024-22</t>
  </si>
  <si>
    <t>C56-058-027-20</t>
  </si>
  <si>
    <t>C56-059-003-20</t>
  </si>
  <si>
    <t>C56-059-003-22</t>
  </si>
  <si>
    <t>C56-059-003-24</t>
  </si>
  <si>
    <t>C56-059-009-20</t>
  </si>
  <si>
    <t>C56-059-009-22</t>
  </si>
  <si>
    <t>C56-059-009-24</t>
  </si>
  <si>
    <t>C56-R-01S</t>
  </si>
  <si>
    <t>C56-R-02S</t>
  </si>
  <si>
    <t>Ángulo Horizontal corregido por Bessel (gon)</t>
  </si>
  <si>
    <r>
      <t>X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</si>
  <si>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r>
      <t>Y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</si>
  <si>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t xml:space="preserve">           Constantes para toda la App</t>
  </si>
  <si>
    <t>x (m)</t>
  </si>
  <si>
    <t>y (m)</t>
  </si>
  <si>
    <t>ΔY(m)</t>
  </si>
  <si>
    <t>ΔX(m)</t>
  </si>
  <si>
    <t>Acimut (gon)</t>
  </si>
  <si>
    <t>r_gon (adimensional)</t>
  </si>
  <si>
    <t>Acimut signo corregido (gon)</t>
  </si>
  <si>
    <t>Prueba 1</t>
  </si>
  <si>
    <t/>
  </si>
  <si>
    <t>Desorientación media del estacioanmiento (ε) (gon)</t>
  </si>
  <si>
    <t>Desorientación (ε) (gon)</t>
  </si>
  <si>
    <t>Desorientación signo corregido (ε) (gon)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</si>
</sst>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9ED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7" fontId="0" fillId="0" borderId="0" xfId="0" applyNumberFormat="1"/>
    <xf numFmtId="0" fontId="0" fillId="0" borderId="2" xfId="0" applyBorder="1"/>
    <xf numFmtId="0" fontId="0" fillId="4" borderId="1" xfId="0" applyFill="1" applyBorder="1"/>
    <xf numFmtId="166" fontId="0" fillId="2" borderId="1" xfId="0" applyNumberFormat="1" applyFill="1" applyBorder="1"/>
    <xf numFmtId="0" fontId="0" fillId="0" borderId="2" xfId="0" applyBorder="1" applyAlignment="1">
      <alignment wrapText="1"/>
    </xf>
    <xf numFmtId="0" fontId="0" fillId="5" borderId="3" xfId="0" applyFill="1" applyBorder="1"/>
    <xf numFmtId="165" fontId="0" fillId="0" borderId="1" xfId="0" applyNumberFormat="1" applyBorder="1" applyAlignment="1">
      <alignment horizontal="center"/>
    </xf>
    <xf numFmtId="0" fontId="3" fillId="0" borderId="2" xfId="0" applyFont="1" applyBorder="1"/>
    <xf numFmtId="166" fontId="0" fillId="3" borderId="3" xfId="0" applyNumberFormat="1" applyFill="1" applyBorder="1"/>
    <xf numFmtId="0" fontId="0" fillId="5" borderId="5" xfId="0" applyFill="1" applyBorder="1"/>
    <xf numFmtId="0" fontId="0" fillId="5" borderId="4" xfId="0" applyFill="1" applyBorder="1"/>
    <xf numFmtId="0" fontId="5" fillId="4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6" fontId="0" fillId="4" borderId="1" xfId="0" applyNumberFormat="1" applyFill="1" applyBorder="1"/>
    <xf numFmtId="0" fontId="0" fillId="0" borderId="1" xfId="0" applyFill="1" applyBorder="1" applyAlignment="1">
      <alignment horizontal="center" wrapText="1"/>
    </xf>
    <xf numFmtId="0" fontId="0" fillId="0" borderId="2" xfId="0" applyFont="1" applyBorder="1" applyAlignment="1">
      <alignment wrapText="1"/>
    </xf>
    <xf numFmtId="16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u Peña, Guillermo" id="{DB3B072B-77EB-4CBB-B34A-191E50B9A364}" userId="S::gpou@ofiteco.com::b6e8f51f-6c67-42f8-935b-adeb13ebe17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2-04T22:18:50.89" personId="{DB3B072B-77EB-4CBB-B34A-191E50B9A364}" id="{280C75AB-E0C7-44C9-BBEB-E750D3B3833D}">
    <text>Pasa de ángulos radianes a ángulos centesimales (gon).</text>
  </threadedComment>
  <threadedComment ref="A6" dT="2026-02-04T22:04:24.19" personId="{DB3B072B-77EB-4CBB-B34A-191E50B9A364}" id="{34804D18-0A24-4B1C-B90D-73FC9CB64A98}">
    <text>No habría que utilizar los puntos de color rojo, porque son puntos de control. A la hora de calcular la desorientación se desconocen las coordenadas de los puntos de control. En este caso he incluido los puntos de control para tener más datos de prueba.</text>
  </threadedComment>
  <threadedComment ref="G6" dT="2026-02-04T16:10:55.44" personId="{DB3B072B-77EB-4CBB-B34A-191E50B9A364}" id="{58CD14AD-F7EF-4EA9-9C90-EE918AAAA32E}">
    <text>Según ChatGPT, en JavaScript existe una función equivalente a “ATAN2”: Math.atan2(y, x)</text>
  </threadedComment>
  <threadedComment ref="G6" dT="2026-02-04T16:35:07.29" personId="{DB3B072B-77EB-4CBB-B34A-191E50B9A364}" id="{CCD4ED62-C40B-4AC5-97AC-E22D4CAB91BF}" parentId="{58CD14AD-F7EF-4EA9-9C90-EE918AAAA32E}">
    <text>Si “ΔX” y “ΔY” son ambos 0, el acimut debe ser 0. Ver fila 24 donde la fórmula da error.</text>
  </threadedComment>
  <threadedComment ref="I24" dT="2026-02-04T22:12:48.12" personId="{DB3B072B-77EB-4CBB-B34A-191E50B9A364}" id="{09467A58-BF5B-4537-B0D9-DF0A1A0DBA83}">
    <text>Si en un gka hay 4 ciclos de lectura, se deben calcular 4 desorientaciones. Igual que con las coordenadas del estacionamiento, un cálculo por cada ciclado.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1:J24"/>
  <sheetViews>
    <sheetView tabSelected="1" zoomScale="85" zoomScaleNormal="85" workbookViewId="0">
      <selection activeCell="M4" sqref="M4"/>
    </sheetView>
  </sheetViews>
  <sheetFormatPr baseColWidth="10" defaultRowHeight="14.4" x14ac:dyDescent="0.3"/>
  <cols>
    <col min="1" max="1" width="14.6640625" bestFit="1" customWidth="1"/>
    <col min="2" max="2" width="18.77734375" bestFit="1" customWidth="1"/>
    <col min="3" max="3" width="22.5546875" bestFit="1" customWidth="1"/>
    <col min="4" max="4" width="13.6640625" customWidth="1"/>
    <col min="5" max="5" width="10.77734375" bestFit="1" customWidth="1"/>
    <col min="6" max="6" width="12.109375" bestFit="1" customWidth="1"/>
    <col min="7" max="7" width="14" bestFit="1" customWidth="1"/>
    <col min="8" max="8" width="12.6640625" bestFit="1" customWidth="1"/>
    <col min="9" max="9" width="25.5546875" customWidth="1"/>
    <col min="10" max="10" width="14.21875" bestFit="1" customWidth="1"/>
    <col min="15" max="15" width="20.5546875" customWidth="1"/>
    <col min="16" max="16" width="22.6640625" customWidth="1"/>
    <col min="17" max="17" width="21.5546875" customWidth="1"/>
    <col min="18" max="18" width="22.5546875" customWidth="1"/>
    <col min="19" max="20" width="21.77734375" customWidth="1"/>
    <col min="21" max="21" width="20.77734375" customWidth="1"/>
    <col min="23" max="23" width="12.5546875" customWidth="1"/>
    <col min="24" max="24" width="13.5546875" customWidth="1"/>
    <col min="25" max="25" width="14.21875" customWidth="1"/>
    <col min="42" max="42" width="19.33203125" customWidth="1"/>
    <col min="46" max="46" width="19.88671875" customWidth="1"/>
  </cols>
  <sheetData>
    <row r="1" spans="1:10" ht="15" thickBot="1" x14ac:dyDescent="0.35"/>
    <row r="2" spans="1:10" ht="21" thickBot="1" x14ac:dyDescent="0.5">
      <c r="B2" s="12" t="s">
        <v>19</v>
      </c>
      <c r="C2" s="13"/>
      <c r="F2" s="10" t="s">
        <v>17</v>
      </c>
      <c r="G2" s="11">
        <v>428254.86437999998</v>
      </c>
    </row>
    <row r="3" spans="1:10" ht="20.399999999999999" x14ac:dyDescent="0.45">
      <c r="B3" s="4" t="s">
        <v>25</v>
      </c>
      <c r="C3" s="8">
        <f>200/PI()</f>
        <v>63.661977236758133</v>
      </c>
      <c r="F3" s="10" t="s">
        <v>18</v>
      </c>
      <c r="G3" s="11">
        <v>4584084.2900099996</v>
      </c>
      <c r="H3" s="3"/>
    </row>
    <row r="4" spans="1:10" x14ac:dyDescent="0.3">
      <c r="H4" s="3"/>
    </row>
    <row r="6" spans="1:10" s="1" customFormat="1" ht="57.6" x14ac:dyDescent="0.3">
      <c r="A6" s="2" t="s">
        <v>0</v>
      </c>
      <c r="B6" s="7" t="s">
        <v>20</v>
      </c>
      <c r="C6" s="2" t="s">
        <v>21</v>
      </c>
      <c r="D6" s="2" t="s">
        <v>16</v>
      </c>
      <c r="E6" s="16" t="s">
        <v>23</v>
      </c>
      <c r="F6" s="16" t="s">
        <v>22</v>
      </c>
      <c r="G6" s="18" t="s">
        <v>24</v>
      </c>
      <c r="H6" s="18" t="s">
        <v>26</v>
      </c>
      <c r="I6" s="2" t="s">
        <v>30</v>
      </c>
      <c r="J6" s="2" t="s">
        <v>31</v>
      </c>
    </row>
    <row r="7" spans="1:10" x14ac:dyDescent="0.3">
      <c r="A7" s="5" t="s">
        <v>1</v>
      </c>
      <c r="B7" s="17">
        <v>428175.22878</v>
      </c>
      <c r="C7" s="17">
        <v>4584168.0055499999</v>
      </c>
      <c r="D7" s="6">
        <v>116.2512</v>
      </c>
      <c r="E7" s="9">
        <f>B7-$G$2</f>
        <v>-79.635599999979604</v>
      </c>
      <c r="F7" s="9">
        <f>C7-$G$3</f>
        <v>83.715540000237525</v>
      </c>
      <c r="G7" s="15">
        <f>ATAN2(F7,E7)*$C$3</f>
        <v>-48.410277042320246</v>
      </c>
      <c r="H7" s="9">
        <f>IF(G7&lt;0,G7+400,G7)</f>
        <v>351.58972295767978</v>
      </c>
      <c r="I7" s="20">
        <f>H7-D7</f>
        <v>235.3385229576798</v>
      </c>
      <c r="J7" s="20">
        <f>IF(I7&lt;0,I7+400,I7)</f>
        <v>235.3385229576798</v>
      </c>
    </row>
    <row r="8" spans="1:10" x14ac:dyDescent="0.3">
      <c r="A8" s="5" t="s">
        <v>2</v>
      </c>
      <c r="B8" s="17">
        <v>428167.65240999998</v>
      </c>
      <c r="C8" s="17">
        <v>4584173.6505699996</v>
      </c>
      <c r="D8" s="6">
        <v>115.4362</v>
      </c>
      <c r="E8" s="9">
        <f t="shared" ref="E8:E21" si="0">B8-$G$2</f>
        <v>-87.21197000000393</v>
      </c>
      <c r="F8" s="9">
        <f t="shared" ref="F8:F21" si="1">C8-$G$3</f>
        <v>89.36055999994278</v>
      </c>
      <c r="G8" s="15">
        <f>ATAN2(F8,E8)*$C$3</f>
        <v>-49.225379297746805</v>
      </c>
      <c r="H8" s="9">
        <f t="shared" ref="H8:H21" si="2">IF(G8&lt;0,G8+400,G8)</f>
        <v>350.77462070225317</v>
      </c>
      <c r="I8" s="20">
        <f t="shared" ref="I8:I21" si="3">H8-D8</f>
        <v>235.33842070225319</v>
      </c>
      <c r="J8" s="20">
        <f t="shared" ref="J8:J21" si="4">IF(I8&lt;0,I8+400,I8)</f>
        <v>235.33842070225319</v>
      </c>
    </row>
    <row r="9" spans="1:10" x14ac:dyDescent="0.3">
      <c r="A9" s="14" t="s">
        <v>3</v>
      </c>
      <c r="B9" s="17">
        <v>428174.88328000001</v>
      </c>
      <c r="C9" s="17">
        <v>4584119.5064399997</v>
      </c>
      <c r="D9" s="6">
        <v>91.066599999999994</v>
      </c>
      <c r="E9" s="9">
        <f t="shared" si="0"/>
        <v>-79.981099999975413</v>
      </c>
      <c r="F9" s="9">
        <f t="shared" si="1"/>
        <v>35.216430000029504</v>
      </c>
      <c r="G9" s="15">
        <f>ATAN2(F9,E9)*$C$3</f>
        <v>-73.595172578068983</v>
      </c>
      <c r="H9" s="9">
        <f t="shared" si="2"/>
        <v>326.40482742193103</v>
      </c>
      <c r="I9" s="20">
        <f t="shared" si="3"/>
        <v>235.33822742193104</v>
      </c>
      <c r="J9" s="20">
        <f t="shared" si="4"/>
        <v>235.33822742193104</v>
      </c>
    </row>
    <row r="10" spans="1:10" x14ac:dyDescent="0.3">
      <c r="A10" s="14" t="s">
        <v>4</v>
      </c>
      <c r="B10" s="17">
        <v>428127.43255999999</v>
      </c>
      <c r="C10" s="17">
        <v>4584123.2890999997</v>
      </c>
      <c r="D10" s="6">
        <v>83.5685</v>
      </c>
      <c r="E10" s="9">
        <f t="shared" si="0"/>
        <v>-127.43181999999797</v>
      </c>
      <c r="F10" s="9">
        <f t="shared" si="1"/>
        <v>38.99909000005573</v>
      </c>
      <c r="G10" s="15">
        <f>ATAN2(F10,E10)*$C$3</f>
        <v>-81.093169986799268</v>
      </c>
      <c r="H10" s="9">
        <f t="shared" si="2"/>
        <v>318.90683001320076</v>
      </c>
      <c r="I10" s="20">
        <f t="shared" si="3"/>
        <v>235.33833001320076</v>
      </c>
      <c r="J10" s="20">
        <f t="shared" si="4"/>
        <v>235.33833001320076</v>
      </c>
    </row>
    <row r="11" spans="1:10" x14ac:dyDescent="0.3">
      <c r="A11" s="14" t="s">
        <v>5</v>
      </c>
      <c r="B11" s="17">
        <v>428127.43706999999</v>
      </c>
      <c r="C11" s="17">
        <v>4584123.2601699997</v>
      </c>
      <c r="D11" s="6">
        <v>83.555899999999994</v>
      </c>
      <c r="E11" s="9">
        <f t="shared" si="0"/>
        <v>-127.42730999999912</v>
      </c>
      <c r="F11" s="9">
        <f t="shared" si="1"/>
        <v>38.970160000026226</v>
      </c>
      <c r="G11" s="15">
        <f>ATAN2(F11,E11)*$C$3</f>
        <v>-81.105755749158817</v>
      </c>
      <c r="H11" s="9">
        <f t="shared" si="2"/>
        <v>318.89424425084121</v>
      </c>
      <c r="I11" s="20">
        <f t="shared" si="3"/>
        <v>235.3383442508412</v>
      </c>
      <c r="J11" s="20">
        <f t="shared" si="4"/>
        <v>235.3383442508412</v>
      </c>
    </row>
    <row r="12" spans="1:10" x14ac:dyDescent="0.3">
      <c r="A12" s="14" t="s">
        <v>6</v>
      </c>
      <c r="B12" s="17">
        <v>428127.90756999998</v>
      </c>
      <c r="C12" s="17">
        <v>4584114.3810200002</v>
      </c>
      <c r="D12" s="6">
        <v>79.4773</v>
      </c>
      <c r="E12" s="9">
        <f t="shared" si="0"/>
        <v>-126.95681000000332</v>
      </c>
      <c r="F12" s="9">
        <f t="shared" si="1"/>
        <v>30.091010000556707</v>
      </c>
      <c r="G12" s="15">
        <f>ATAN2(F12,E12)*$C$3</f>
        <v>-85.184381252285689</v>
      </c>
      <c r="H12" s="9">
        <f t="shared" si="2"/>
        <v>314.81561874771432</v>
      </c>
      <c r="I12" s="20">
        <f t="shared" si="3"/>
        <v>235.33831874771431</v>
      </c>
      <c r="J12" s="20">
        <f t="shared" si="4"/>
        <v>235.33831874771431</v>
      </c>
    </row>
    <row r="13" spans="1:10" x14ac:dyDescent="0.3">
      <c r="A13" s="14" t="s">
        <v>7</v>
      </c>
      <c r="B13" s="17">
        <v>428150.33458999998</v>
      </c>
      <c r="C13" s="17">
        <v>4584125.8044299996</v>
      </c>
      <c r="D13" s="6">
        <v>88.729100000000003</v>
      </c>
      <c r="E13" s="9">
        <f t="shared" si="0"/>
        <v>-104.5297900000005</v>
      </c>
      <c r="F13" s="9">
        <f t="shared" si="1"/>
        <v>41.514419999904931</v>
      </c>
      <c r="G13" s="15">
        <f>ATAN2(F13,E13)*$C$3</f>
        <v>-75.93255838813505</v>
      </c>
      <c r="H13" s="9">
        <f t="shared" si="2"/>
        <v>324.06744161186498</v>
      </c>
      <c r="I13" s="20">
        <f t="shared" si="3"/>
        <v>235.33834161186496</v>
      </c>
      <c r="J13" s="20">
        <f t="shared" si="4"/>
        <v>235.33834161186496</v>
      </c>
    </row>
    <row r="14" spans="1:10" x14ac:dyDescent="0.3">
      <c r="A14" s="14" t="s">
        <v>8</v>
      </c>
      <c r="B14" s="17">
        <v>428219.99187000003</v>
      </c>
      <c r="C14" s="17">
        <v>4584146.9575300002</v>
      </c>
      <c r="D14" s="6">
        <v>132.33430000000001</v>
      </c>
      <c r="E14" s="9">
        <f t="shared" si="0"/>
        <v>-34.872509999957401</v>
      </c>
      <c r="F14" s="9">
        <f t="shared" si="1"/>
        <v>62.667520000599325</v>
      </c>
      <c r="G14" s="15">
        <f>ATAN2(F14,E14)*$C$3</f>
        <v>-32.327295661701172</v>
      </c>
      <c r="H14" s="9">
        <f t="shared" si="2"/>
        <v>367.67270433829884</v>
      </c>
      <c r="I14" s="20">
        <f t="shared" si="3"/>
        <v>235.33840433829883</v>
      </c>
      <c r="J14" s="20">
        <f t="shared" si="4"/>
        <v>235.33840433829883</v>
      </c>
    </row>
    <row r="15" spans="1:10" x14ac:dyDescent="0.3">
      <c r="A15" s="14" t="s">
        <v>9</v>
      </c>
      <c r="B15" s="17">
        <v>428240.08773000003</v>
      </c>
      <c r="C15" s="17">
        <v>4584136.7684500003</v>
      </c>
      <c r="D15" s="6">
        <v>147.1884</v>
      </c>
      <c r="E15" s="9">
        <f t="shared" si="0"/>
        <v>-14.776649999956135</v>
      </c>
      <c r="F15" s="9">
        <f t="shared" si="1"/>
        <v>52.478440000675619</v>
      </c>
      <c r="G15" s="15">
        <f>ATAN2(F15,E15)*$C$3</f>
        <v>-17.473251277642465</v>
      </c>
      <c r="H15" s="9">
        <f t="shared" si="2"/>
        <v>382.52674872235752</v>
      </c>
      <c r="I15" s="20">
        <f t="shared" si="3"/>
        <v>235.33834872235752</v>
      </c>
      <c r="J15" s="20">
        <f t="shared" si="4"/>
        <v>235.33834872235752</v>
      </c>
    </row>
    <row r="16" spans="1:10" x14ac:dyDescent="0.3">
      <c r="A16" s="14" t="s">
        <v>10</v>
      </c>
      <c r="B16" s="17">
        <v>428253.93044999999</v>
      </c>
      <c r="C16" s="17">
        <v>4584130.4083200004</v>
      </c>
      <c r="D16" s="6">
        <v>163.37260000000001</v>
      </c>
      <c r="E16" s="9">
        <f t="shared" si="0"/>
        <v>-0.93392999999923632</v>
      </c>
      <c r="F16" s="9">
        <f t="shared" si="1"/>
        <v>46.118310000747442</v>
      </c>
      <c r="G16" s="15">
        <f>ATAN2(F16,E16)*$C$3</f>
        <v>-1.289026092553925</v>
      </c>
      <c r="H16" s="9">
        <f t="shared" si="2"/>
        <v>398.71097390744609</v>
      </c>
      <c r="I16" s="20">
        <f>H16-D16</f>
        <v>235.33837390744608</v>
      </c>
      <c r="J16" s="20">
        <f t="shared" si="4"/>
        <v>235.33837390744608</v>
      </c>
    </row>
    <row r="17" spans="1:10" x14ac:dyDescent="0.3">
      <c r="A17" s="14" t="s">
        <v>11</v>
      </c>
      <c r="B17" s="17">
        <v>428272.84479</v>
      </c>
      <c r="C17" s="17">
        <v>4584095.1061899997</v>
      </c>
      <c r="D17" s="6">
        <v>230.18459999999999</v>
      </c>
      <c r="E17" s="9">
        <f t="shared" si="0"/>
        <v>17.98041000001831</v>
      </c>
      <c r="F17" s="9">
        <f t="shared" si="1"/>
        <v>10.816180000081658</v>
      </c>
      <c r="G17" s="15">
        <f>ATAN2(F17,E17)*$C$3</f>
        <v>65.523152420849541</v>
      </c>
      <c r="H17" s="9">
        <f t="shared" si="2"/>
        <v>65.523152420849541</v>
      </c>
      <c r="I17" s="20">
        <f>H17-D17</f>
        <v>-164.66144757915043</v>
      </c>
      <c r="J17" s="20">
        <f t="shared" si="4"/>
        <v>235.33855242084957</v>
      </c>
    </row>
    <row r="18" spans="1:10" x14ac:dyDescent="0.3">
      <c r="A18" s="14" t="s">
        <v>12</v>
      </c>
      <c r="B18" s="17">
        <v>428276.60668999999</v>
      </c>
      <c r="C18" s="17">
        <v>4584088.0485800002</v>
      </c>
      <c r="D18" s="6">
        <v>253.76410000000001</v>
      </c>
      <c r="E18" s="9">
        <f t="shared" si="0"/>
        <v>21.742310000001453</v>
      </c>
      <c r="F18" s="9">
        <f t="shared" si="1"/>
        <v>3.7585700005292892</v>
      </c>
      <c r="G18" s="15">
        <f>ATAN2(F18,E18)*$C$3</f>
        <v>89.102522158980349</v>
      </c>
      <c r="H18" s="9">
        <f t="shared" si="2"/>
        <v>89.102522158980349</v>
      </c>
      <c r="I18" s="20">
        <f t="shared" si="3"/>
        <v>-164.66157784101966</v>
      </c>
      <c r="J18" s="20">
        <f t="shared" si="4"/>
        <v>235.33842215898034</v>
      </c>
    </row>
    <row r="19" spans="1:10" x14ac:dyDescent="0.3">
      <c r="A19" s="14" t="s">
        <v>13</v>
      </c>
      <c r="B19" s="17">
        <v>428259.85781999998</v>
      </c>
      <c r="C19" s="17">
        <v>4584077.9289199999</v>
      </c>
      <c r="D19" s="6">
        <v>322.29259999999999</v>
      </c>
      <c r="E19" s="9">
        <f t="shared" si="0"/>
        <v>4.9934399999910966</v>
      </c>
      <c r="F19" s="9">
        <f t="shared" si="1"/>
        <v>-6.3610899997875094</v>
      </c>
      <c r="G19" s="15">
        <f>ATAN2(F19,E19)*$C$3</f>
        <v>157.6313039345761</v>
      </c>
      <c r="H19" s="9">
        <f t="shared" si="2"/>
        <v>157.6313039345761</v>
      </c>
      <c r="I19" s="20">
        <f t="shared" si="3"/>
        <v>-164.6612960654239</v>
      </c>
      <c r="J19" s="20">
        <f t="shared" si="4"/>
        <v>235.3387039345761</v>
      </c>
    </row>
    <row r="20" spans="1:10" x14ac:dyDescent="0.3">
      <c r="A20" s="5" t="s">
        <v>14</v>
      </c>
      <c r="B20" s="17">
        <v>428268.95672000002</v>
      </c>
      <c r="C20" s="17">
        <v>4584021.1174299996</v>
      </c>
      <c r="D20" s="6">
        <v>350.68889999999999</v>
      </c>
      <c r="E20" s="9">
        <f t="shared" si="0"/>
        <v>14.092340000031982</v>
      </c>
      <c r="F20" s="9">
        <f t="shared" si="1"/>
        <v>-63.172580000013113</v>
      </c>
      <c r="G20" s="15">
        <f>ATAN2(F20,E20)*$C$3</f>
        <v>186.02726513415607</v>
      </c>
      <c r="H20" s="9">
        <f t="shared" si="2"/>
        <v>186.02726513415607</v>
      </c>
      <c r="I20" s="20">
        <f t="shared" si="3"/>
        <v>-164.66163486584392</v>
      </c>
      <c r="J20" s="20">
        <f t="shared" si="4"/>
        <v>235.33836513415608</v>
      </c>
    </row>
    <row r="21" spans="1:10" x14ac:dyDescent="0.3">
      <c r="A21" s="5" t="s">
        <v>15</v>
      </c>
      <c r="B21" s="17">
        <v>428266.30794000003</v>
      </c>
      <c r="C21" s="17">
        <v>4584026.2457400002</v>
      </c>
      <c r="D21" s="6">
        <v>352.26929999999999</v>
      </c>
      <c r="E21" s="9">
        <f t="shared" si="0"/>
        <v>11.443560000043362</v>
      </c>
      <c r="F21" s="9">
        <f t="shared" si="1"/>
        <v>-58.044269999489188</v>
      </c>
      <c r="G21" s="15">
        <f>ATAN2(F21,E21)*$C$3</f>
        <v>187.6078223589777</v>
      </c>
      <c r="H21" s="9">
        <f t="shared" si="2"/>
        <v>187.6078223589777</v>
      </c>
      <c r="I21" s="20">
        <f t="shared" si="3"/>
        <v>-164.66147764102229</v>
      </c>
      <c r="J21" s="20">
        <f t="shared" si="4"/>
        <v>235.33852235897771</v>
      </c>
    </row>
    <row r="22" spans="1:10" x14ac:dyDescent="0.3">
      <c r="A22" s="5" t="s">
        <v>27</v>
      </c>
      <c r="B22" s="17">
        <v>428254.86437999998</v>
      </c>
      <c r="C22" s="17">
        <v>4584084.2900099996</v>
      </c>
      <c r="D22" s="6" t="s">
        <v>28</v>
      </c>
      <c r="E22" s="9">
        <f t="shared" ref="E22" si="5">B22-$G$2</f>
        <v>0</v>
      </c>
      <c r="F22" s="9">
        <f t="shared" ref="F22" si="6">C22-$G$3</f>
        <v>0</v>
      </c>
      <c r="G22" s="15" t="e">
        <f>ATAN2(F22,E22)*$C$3</f>
        <v>#DIV/0!</v>
      </c>
    </row>
    <row r="24" spans="1:10" ht="28.8" x14ac:dyDescent="0.3">
      <c r="I24" s="19" t="s">
        <v>29</v>
      </c>
      <c r="J24" s="11">
        <f>AVERAGE(J7:J21)</f>
        <v>235.33841324540853</v>
      </c>
    </row>
  </sheetData>
  <phoneticPr fontId="1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Desorientación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2026-02-04T23:11:37Z</dcterms:modified>
</cp:coreProperties>
</file>