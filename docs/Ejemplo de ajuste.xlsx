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ice0-my.sharepoint.com/personal/gpou_ofiteco_com/Documents/Programas/Ajuste de observaciones OFITECO/2026-08-21 332IS Barcelona/"/>
    </mc:Choice>
  </mc:AlternateContent>
  <xr:revisionPtr revIDLastSave="736" documentId="8_{146FB1A0-B395-4850-9C4D-74803A4CCD53}" xr6:coauthVersionLast="47" xr6:coauthVersionMax="47" xr10:uidLastSave="{17EAC79D-2E8A-487B-BF6B-B859D4A71BB1}"/>
  <bookViews>
    <workbookView xWindow="-108" yWindow="-108" windowWidth="23256" windowHeight="12456" xr2:uid="{55901409-FE48-4B62-BED5-462D43EC8893}"/>
  </bookViews>
  <sheets>
    <sheet name="Planimetrí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1" l="1"/>
  <c r="P13" i="1"/>
  <c r="P14" i="1"/>
  <c r="P15" i="1"/>
  <c r="B188" i="1" a="1"/>
  <c r="B188" i="1" s="1"/>
  <c r="B63" i="1" l="1"/>
  <c r="B64" i="1"/>
  <c r="B65" i="1"/>
  <c r="B66" i="1"/>
  <c r="B67" i="1"/>
  <c r="B68" i="1"/>
  <c r="B69" i="1"/>
  <c r="B70" i="1"/>
  <c r="B173" i="1" l="1"/>
  <c r="L12" i="1" l="1"/>
  <c r="M12" i="1" s="1"/>
  <c r="L13" i="1"/>
  <c r="M13" i="1" s="1"/>
  <c r="L14" i="1"/>
  <c r="M14" i="1" s="1"/>
  <c r="L15" i="1"/>
  <c r="M15" i="1" s="1"/>
  <c r="A22" i="1"/>
  <c r="A23" i="1"/>
  <c r="A24" i="1"/>
  <c r="A21" i="1"/>
  <c r="C5" i="1"/>
  <c r="C7" i="1"/>
  <c r="K6" i="1"/>
  <c r="C6" i="1"/>
  <c r="K5" i="1" s="1"/>
  <c r="K24" i="1" l="1"/>
  <c r="N15" i="1"/>
  <c r="O15" i="1"/>
  <c r="K22" i="1"/>
  <c r="O13" i="1"/>
  <c r="N13" i="1"/>
  <c r="K23" i="1"/>
  <c r="N14" i="1"/>
  <c r="O14" i="1"/>
  <c r="K21" i="1"/>
  <c r="N12" i="1"/>
  <c r="O12" i="1"/>
  <c r="A31" i="1"/>
  <c r="A49" i="1" s="1"/>
  <c r="A64" i="1" s="1"/>
  <c r="D62" i="1" s="1"/>
  <c r="E29" i="1"/>
  <c r="B204" i="1" s="1"/>
  <c r="A35" i="1"/>
  <c r="A53" i="1" s="1"/>
  <c r="A68" i="1" s="1"/>
  <c r="H62" i="1" s="1"/>
  <c r="F29" i="1"/>
  <c r="B205" i="1" s="1"/>
  <c r="A32" i="1"/>
  <c r="A50" i="1" s="1"/>
  <c r="A65" i="1" s="1"/>
  <c r="E62" i="1" s="1"/>
  <c r="H29" i="1"/>
  <c r="B207" i="1" s="1"/>
  <c r="A36" i="1"/>
  <c r="A54" i="1" s="1"/>
  <c r="A69" i="1" s="1"/>
  <c r="I62" i="1" s="1"/>
  <c r="G29" i="1"/>
  <c r="B206" i="1" s="1"/>
  <c r="A33" i="1"/>
  <c r="A51" i="1" s="1"/>
  <c r="A66" i="1" s="1"/>
  <c r="F62" i="1" s="1"/>
  <c r="J29" i="1"/>
  <c r="B209" i="1" s="1"/>
  <c r="A37" i="1"/>
  <c r="A55" i="1" s="1"/>
  <c r="A70" i="1" s="1"/>
  <c r="J62" i="1" s="1"/>
  <c r="I29" i="1"/>
  <c r="B208" i="1" s="1"/>
  <c r="A30" i="1"/>
  <c r="A48" i="1" s="1"/>
  <c r="A63" i="1" s="1"/>
  <c r="C62" i="1" s="1"/>
  <c r="A34" i="1"/>
  <c r="A52" i="1" s="1"/>
  <c r="A67" i="1" s="1"/>
  <c r="G62" i="1" s="1"/>
  <c r="D29" i="1"/>
  <c r="B203" i="1" s="1"/>
  <c r="C29" i="1"/>
  <c r="B202" i="1" s="1"/>
  <c r="C3" i="1"/>
  <c r="B178" i="1" l="1"/>
  <c r="K3" i="1"/>
  <c r="C4" i="1"/>
  <c r="V14" i="1" l="1"/>
  <c r="V13" i="1"/>
  <c r="V15" i="1"/>
  <c r="G14" i="1"/>
  <c r="H14" i="1" s="1"/>
  <c r="I14" i="1" s="1"/>
  <c r="J14" i="1" s="1"/>
  <c r="G12" i="1"/>
  <c r="H12" i="1" s="1"/>
  <c r="I12" i="1" s="1"/>
  <c r="J12" i="1" s="1"/>
  <c r="G13" i="1"/>
  <c r="H13" i="1" s="1"/>
  <c r="I13" i="1" s="1"/>
  <c r="J13" i="1" s="1"/>
  <c r="G15" i="1"/>
  <c r="H15" i="1" s="1"/>
  <c r="I15" i="1" s="1"/>
  <c r="J15" i="1" s="1"/>
  <c r="V12" i="1"/>
  <c r="K13" i="1" l="1"/>
  <c r="Q22" i="1"/>
  <c r="K12" i="1"/>
  <c r="Q21" i="1"/>
  <c r="K15" i="1"/>
  <c r="Q24" i="1"/>
  <c r="K14" i="1"/>
  <c r="Q23" i="1"/>
  <c r="B23" i="1" l="1"/>
  <c r="C23" i="1"/>
  <c r="T15" i="1"/>
  <c r="U15" i="1"/>
  <c r="L21" i="1"/>
  <c r="N21" i="1" s="1"/>
  <c r="G67" i="1" s="1"/>
  <c r="T12" i="1"/>
  <c r="U12" i="1"/>
  <c r="T13" i="1"/>
  <c r="U13" i="1"/>
  <c r="L22" i="1"/>
  <c r="M22" i="1" s="1"/>
  <c r="L24" i="1"/>
  <c r="L23" i="1"/>
  <c r="B24" i="1"/>
  <c r="C22" i="1"/>
  <c r="T14" i="1"/>
  <c r="M21" i="1" l="1"/>
  <c r="C63" i="1" s="1"/>
  <c r="N22" i="1"/>
  <c r="H68" i="1" s="1"/>
  <c r="R22" i="1"/>
  <c r="D64" i="1"/>
  <c r="R21" i="1"/>
  <c r="B21" i="1"/>
  <c r="C34" i="1" s="1"/>
  <c r="G22" i="1"/>
  <c r="F35" i="1"/>
  <c r="F24" i="1"/>
  <c r="I37" i="1"/>
  <c r="F23" i="1"/>
  <c r="G36" i="1"/>
  <c r="G23" i="1"/>
  <c r="H36" i="1"/>
  <c r="C24" i="1"/>
  <c r="B22" i="1"/>
  <c r="U14" i="1"/>
  <c r="C21" i="1"/>
  <c r="D34" i="1" s="1"/>
  <c r="N23" i="1"/>
  <c r="I69" i="1" s="1"/>
  <c r="M23" i="1"/>
  <c r="M24" i="1"/>
  <c r="N24" i="1"/>
  <c r="J70" i="1" s="1"/>
  <c r="F21" i="1" l="1"/>
  <c r="R24" i="1"/>
  <c r="F66" i="1"/>
  <c r="R23" i="1"/>
  <c r="E65" i="1"/>
  <c r="H23" i="1"/>
  <c r="I23" i="1" s="1"/>
  <c r="O23" i="1" s="1"/>
  <c r="C50" i="1" s="1"/>
  <c r="F22" i="1"/>
  <c r="H22" i="1" s="1"/>
  <c r="I22" i="1" s="1"/>
  <c r="O22" i="1" s="1"/>
  <c r="C49" i="1" s="1"/>
  <c r="E35" i="1"/>
  <c r="J23" i="1"/>
  <c r="P23" i="1" s="1"/>
  <c r="C54" i="1" s="1"/>
  <c r="G24" i="1"/>
  <c r="J24" i="1" s="1"/>
  <c r="P24" i="1" s="1"/>
  <c r="C55" i="1" s="1"/>
  <c r="J37" i="1"/>
  <c r="G21" i="1"/>
  <c r="H32" i="1" l="1"/>
  <c r="G32" i="1"/>
  <c r="J22" i="1"/>
  <c r="F31" i="1" s="1"/>
  <c r="H24" i="1"/>
  <c r="I24" i="1" s="1"/>
  <c r="O24" i="1" s="1"/>
  <c r="C51" i="1" s="1"/>
  <c r="I33" i="1"/>
  <c r="J33" i="1"/>
  <c r="J21" i="1"/>
  <c r="C30" i="1" s="1"/>
  <c r="H21" i="1"/>
  <c r="I21" i="1" s="1"/>
  <c r="O21" i="1" s="1"/>
  <c r="C48" i="1" s="1"/>
  <c r="P21" i="1" l="1"/>
  <c r="C52" i="1" s="1"/>
  <c r="D30" i="1"/>
  <c r="P22" i="1"/>
  <c r="C53" i="1" s="1"/>
  <c r="E31" i="1"/>
  <c r="B79" i="1" l="1" a="1"/>
  <c r="B79" i="1" s="1"/>
  <c r="B91" i="1" l="1" a="1"/>
  <c r="B91" i="1" s="1"/>
  <c r="B103" i="1" l="1" a="1"/>
  <c r="B103" i="1" s="1"/>
  <c r="B127" i="1" a="1"/>
  <c r="B127" i="1" s="1"/>
  <c r="B115" i="1" l="1" a="1"/>
  <c r="B115" i="1" s="1"/>
  <c r="B139" i="1" l="1" a="1"/>
  <c r="B139" i="1" l="1"/>
  <c r="C221" i="1"/>
  <c r="C220" i="1"/>
  <c r="C219" i="1"/>
  <c r="C218" i="1"/>
  <c r="C217" i="1"/>
  <c r="C216" i="1"/>
  <c r="C215" i="1"/>
  <c r="B151" i="1" l="1" a="1"/>
  <c r="B151" i="1" s="1"/>
  <c r="B163" i="1" s="1" a="1"/>
  <c r="C214" i="1"/>
  <c r="G225" i="1"/>
  <c r="G232" i="1"/>
  <c r="F226" i="1"/>
  <c r="F233" i="1"/>
  <c r="G233" i="1"/>
  <c r="G226" i="1"/>
  <c r="F234" i="1"/>
  <c r="F227" i="1"/>
  <c r="G234" i="1"/>
  <c r="G227" i="1"/>
  <c r="F235" i="1"/>
  <c r="F228" i="1"/>
  <c r="G235" i="1"/>
  <c r="G228" i="1"/>
  <c r="B163" i="1" l="1"/>
  <c r="B168" i="1" s="1" a="1"/>
  <c r="B168" i="1" s="1"/>
  <c r="F225" i="1"/>
  <c r="F232" i="1"/>
  <c r="B193" i="1"/>
  <c r="C209" i="1" l="1"/>
  <c r="C208" i="1"/>
  <c r="C202" i="1"/>
  <c r="C206" i="1"/>
  <c r="C204" i="1"/>
  <c r="C203" i="1"/>
  <c r="C207" i="1"/>
  <c r="C20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tc={55FB3767-EDA2-4B14-A126-C611E2B3E671}</author>
    <author>tc={1C7D67B8-EC3A-47EA-A02B-2C010620B890}</author>
    <author>tc={FBFB6044-F600-4BDD-B8BD-FA5254FA808E}</author>
    <author>tc={44C4EA4F-5C82-46F5-B140-87F3AC2F7740}</author>
    <author>tc={520473D1-9D3C-4781-B3AF-400ABA463A05}</author>
    <author>tc={A20A0E7F-452A-4B8E-852F-8DD8442801A3}</author>
    <author>tc={69CA57D1-862A-4C5C-9CAC-D1598213A680}</author>
    <author>tc={F47E7725-4A37-42C5-B59C-0F073F4EBC69}</author>
    <author>tc={12AB050B-0EB6-410B-BBB4-8D5941C3CCD2}</author>
    <author>tc={5ED3A4C2-73C6-44B9-B4DF-8777DA81DDBE}</author>
    <author>tc={BB10B07E-AC0E-4AED-BDBE-7D57BAD4445E}</author>
    <author>tc={43E2B75C-9242-4F2D-BA13-0DD316DE94B6}</author>
    <author>tc={3091C209-F448-4FA8-B885-AEADEAC488D0}</author>
    <author>tc={CE5E01DD-7D46-43C3-B2E8-5EF8AF5E5810}</author>
    <author>tc={01CBE31E-3A63-4D6D-9EE5-E0BD0936AC64}</author>
  </authors>
  <commentList>
    <comment ref="B3" authorId="0" shapeId="0" xr:uid="{55FB3767-EDA2-4B14-A126-C611E2B3E671}">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ángulos centesimales (gones) a ángulos radianes.</t>
      </text>
    </comment>
    <comment ref="B5" authorId="1" shapeId="0" xr:uid="{1C7D67B8-EC3A-47EA-A02B-2C010620B890}">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ángulos radianes a ángulos centesimales (gon).</t>
      </text>
    </comment>
    <comment ref="B6" authorId="2" shapeId="0" xr:uid="{FBFB6044-F600-4BDD-B8BD-FA5254FA808E}">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segundos de ángulos sexagesimales (‘’) a segundos de ángulos centesimales (cc)</t>
      </text>
    </comment>
    <comment ref="J6" authorId="3" shapeId="0" xr:uid="{44C4EA4F-5C82-46F5-B140-87F3AC2F774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error del distanciómetro se compone de una parte fija y otra proporcional a la distancia. Si según el fabricante la precisión es 0.8 mm + 1 ppm (parte por millón), estos serán los errores en función de la distancia:
1 m: error de 0.8 mm
1000 m: error de 1.8 mm
2000 m: error de 2.8 mm</t>
      </text>
    </comment>
    <comment ref="B7" authorId="4" shapeId="0" xr:uid="{520473D1-9D3C-4781-B3AF-400ABA463A05}">
      <text>
        <t>[Comentario encadenado]
Su versión de Excel le permite leer este comentario encadenado; sin embargo, las ediciones que se apliquen se quitarán si el archivo se abre en una versión más reciente de Excel. Más información: https://go.microsoft.com/fwlink/?linkid=870924
Comentario:
    Pasa de ángulos radianes a segundos de ángulos centesimales (cc).</t>
      </text>
    </comment>
    <comment ref="A11" authorId="5" shapeId="0" xr:uid="{A20A0E7F-452A-4B8E-852F-8DD8442801A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puntos de color rojo son referencias de las que ya se conocen sus coordenadas.  Solamente se calculan en este caso para corroborar que sus coordenadas son similares a las coordenadas de partida.</t>
      </text>
    </comment>
    <comment ref="E11" authorId="6" shapeId="0" xr:uid="{69CA57D1-862A-4C5C-9CAC-D1598213A680}">
      <text>
        <t>[Comentario encadenado]
Su versión de Excel le permite leer este comentario encadenado; sin embargo, las ediciones que se apliquen se quitarán si el archivo se abre en una versión más reciente de Excel. Más información: https://go.microsoft.com/fwlink/?linkid=870924
Comentario:
    i = instrumento. Altura de la estación total sobre el suelo. En auscultación casi siempre es 0.</t>
      </text>
    </comment>
    <comment ref="F11" authorId="7" shapeId="0" xr:uid="{F47E7725-4A37-42C5-B59C-0F073F4EBC69}">
      <text>
        <t>[Comentario encadenado]
Su versión de Excel le permite leer este comentario encadenado; sin embargo, las ediciones que se apliquen se quitarán si el archivo se abre en una versión más reciente de Excel. Más información: https://go.microsoft.com/fwlink/?linkid=870924
Comentario:
    m = mira. Altura del jalón, distancia desde el prisma hasta el suelo. En auscultación casi siempre es 0</t>
      </text>
    </comment>
    <comment ref="A20" authorId="8" shapeId="0" xr:uid="{12AB050B-0EB6-410B-BBB4-8D5941C3CCD2}">
      <text>
        <t>[Comentario encadenado]
Su versión de Excel le permite leer este comentario encadenado; sin embargo, las ediciones que se apliquen se quitarán si el archivo se abre en una versión más reciente de Excel. Más información: https://go.microsoft.com/fwlink/?linkid=870924
Comentario:
    Solamente se calculan los puntos de control. Las referencias se calcularán más adelante.</t>
      </text>
    </comment>
    <comment ref="D20" authorId="9" shapeId="0" xr:uid="{5ED3A4C2-73C6-44B9-B4DF-8777DA81DD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el error con el que se posiciona el prisma en el punto de medición. En auscultación este error debería ser 0, porque los prismas están atornillados siempre en la misma posición. De todas formas, vamos a introducir la variable porque en algún caso se podría utilizar. </t>
      </text>
    </comment>
    <comment ref="E20" authorId="10" shapeId="0" xr:uid="{BB10B07E-AC0E-4AED-BDBE-7D57BAD4445E}">
      <text>
        <t>[Comentario encadenado]
Su versión de Excel le permite leer este comentario encadenado; sin embargo, las ediciones que se apliquen se quitarán si el archivo se abre en una versión más reciente de Excel. Más información: https://go.microsoft.com/fwlink/?linkid=870924
Comentario:
    No siempre es constante. Depende del teodolito, del tipo de prisma/diana y, si la puntería es manual, también depende del topógrafo.</t>
      </text>
    </comment>
    <comment ref="K20" authorId="11" shapeId="0" xr:uid="{43E2B75C-9242-4F2D-BA13-0DD316DE94B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obtienen del cálculo de Coordenadas aproximadas</t>
      </text>
    </comment>
    <comment ref="L20" authorId="12" shapeId="0" xr:uid="{3091C209-F448-4FA8-B885-AEADEAC488D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obtiene del cálculo de distancias reducidas.</t>
      </text>
    </comment>
    <comment ref="Q20" authorId="13" shapeId="0" xr:uid="{CE5E01DD-7D46-43C3-B2E8-5EF8AF5E581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obtiene del cálculo de distancias reducidas.</t>
      </text>
    </comment>
    <comment ref="C60" authorId="14" shapeId="0" xr:uid="{01CBE31E-3A63-4D6D-9EE5-E0BD0936AC64}">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la matriz de pesos “P”, el número de filas es igual al número de columnas. Este valor coincide con el número de visuales (ya corregidas por Bessel) multiplicado por 2. Se multiplica por 2 porque cada visual tiene peso en dirección y peso en distancia.
Respuesta:
    La matriz P es diagonal, no como la matriz A, que se construye de manera diferente.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<sst xmlns="http://schemas.openxmlformats.org/spreadsheetml/2006/main" count="156" uniqueCount="122">
  <si>
    <t>Punto Visado</t>
  </si>
  <si>
    <t>i (m)</t>
  </si>
  <si>
    <t>m (m)</t>
  </si>
  <si>
    <t>Ángulo Horizontal corregido por Bessel (gon)</t>
  </si>
  <si>
    <t>Ángulo Vertical corregido por Bessel (gon)</t>
  </si>
  <si>
    <t>gon_r (adimensional)</t>
  </si>
  <si>
    <t>Radio Tierra (m)</t>
  </si>
  <si>
    <t>Kt (coeficiente de refracción)</t>
  </si>
  <si>
    <t xml:space="preserve">                      Variables de cada proyecto</t>
  </si>
  <si>
    <t xml:space="preserve">           Constantes para toda la App</t>
  </si>
  <si>
    <r>
      <t>Distancia</t>
    </r>
    <r>
      <rPr>
        <b/>
        <sz val="11"/>
        <color theme="1"/>
        <rFont val="Aptos Narrow"/>
        <family val="2"/>
        <scheme val="minor"/>
      </rPr>
      <t xml:space="preserve"> geométrica</t>
    </r>
    <r>
      <rPr>
        <sz val="11"/>
        <color theme="1"/>
        <rFont val="Aptos Narrow"/>
        <family val="2"/>
        <scheme val="minor"/>
      </rPr>
      <t xml:space="preserve"> promediada CD y CI (m)</t>
    </r>
  </si>
  <si>
    <t>Acimut (gon)</t>
  </si>
  <si>
    <t>Acimut corregido (gon)</t>
  </si>
  <si>
    <t>Distancia UTM (m)</t>
  </si>
  <si>
    <t>Desorientación del estacioanmiento (ε) (gon)</t>
  </si>
  <si>
    <r>
      <t>X</t>
    </r>
    <r>
      <rPr>
        <vertAlign val="subscript"/>
        <sz val="14"/>
        <rFont val="Aptos Narrow"/>
        <family val="2"/>
        <scheme val="minor"/>
      </rPr>
      <t xml:space="preserve"> Estación total</t>
    </r>
  </si>
  <si>
    <r>
      <t>Y</t>
    </r>
    <r>
      <rPr>
        <vertAlign val="subscript"/>
        <sz val="14"/>
        <rFont val="Aptos Narrow"/>
        <family val="2"/>
        <scheme val="minor"/>
      </rPr>
      <t xml:space="preserve"> Estación total</t>
    </r>
  </si>
  <si>
    <r>
      <t>Z</t>
    </r>
    <r>
      <rPr>
        <vertAlign val="subscript"/>
        <sz val="14"/>
        <rFont val="Aptos Narrow"/>
        <family val="2"/>
        <scheme val="minor"/>
      </rPr>
      <t xml:space="preserve"> Estación total</t>
    </r>
  </si>
  <si>
    <t>20260513_093501_20260513_093925.gka</t>
  </si>
  <si>
    <t>C3</t>
  </si>
  <si>
    <t>C6</t>
  </si>
  <si>
    <t>C8</t>
  </si>
  <si>
    <t>P1</t>
  </si>
  <si>
    <r>
      <t xml:space="preserve">K </t>
    </r>
    <r>
      <rPr>
        <vertAlign val="subscript"/>
        <sz val="14"/>
        <color theme="1"/>
        <rFont val="Aptos Narrow"/>
        <family val="2"/>
        <scheme val="minor"/>
      </rPr>
      <t>UTM</t>
    </r>
  </si>
  <si>
    <t>w (cc)</t>
  </si>
  <si>
    <t>r (cc)</t>
  </si>
  <si>
    <t>Distancia reducida al horizonte de la estación (m)</t>
  </si>
  <si>
    <t>Distancia reducida a la cuerda del elipsoide (m)</t>
  </si>
  <si>
    <t xml:space="preserve">Z ajustada Topodata (m) </t>
  </si>
  <si>
    <t xml:space="preserve">Y ajustada Topodata (m) </t>
  </si>
  <si>
    <t xml:space="preserve">X ajustada Topodata (m) </t>
  </si>
  <si>
    <t xml:space="preserve">X aproximada Topodata (m) </t>
  </si>
  <si>
    <t xml:space="preserve">Y aproximada Topodata (m) </t>
  </si>
  <si>
    <t xml:space="preserve">Z aproximada Topodata (m) </t>
  </si>
  <si>
    <t xml:space="preserve">X aproximada (m) </t>
  </si>
  <si>
    <t xml:space="preserve">Y aproximada (m) </t>
  </si>
  <si>
    <t xml:space="preserve">Z aproximada (m) </t>
  </si>
  <si>
    <t>Precisión angular teodolito (cc)</t>
  </si>
  <si>
    <t>r_gon (adimensional)</t>
  </si>
  <si>
    <t>s-sexa_cc (adimensional)</t>
  </si>
  <si>
    <t>Precisión distanciómetro (mm + ppm)</t>
  </si>
  <si>
    <t>mm ±</t>
  </si>
  <si>
    <t>ppm</t>
  </si>
  <si>
    <t>r_cc (cc)</t>
  </si>
  <si>
    <t>x (m)</t>
  </si>
  <si>
    <t>y (m)</t>
  </si>
  <si>
    <t>Precisión de señal (m)</t>
  </si>
  <si>
    <t>Precisión de puntería (cc)</t>
  </si>
  <si>
    <t>ΔX(m)</t>
  </si>
  <si>
    <t>ΔY(m)</t>
  </si>
  <si>
    <t>Acimut calculado (gon)</t>
  </si>
  <si>
    <t>Acimut calculado signo corregido (gon)</t>
  </si>
  <si>
    <t>Distancia calculada (m)</t>
  </si>
  <si>
    <t>Acimut observado (gon)</t>
  </si>
  <si>
    <t>Precisión angular horizontal total (cc)</t>
  </si>
  <si>
    <t>Precisión total en distancia (m)</t>
  </si>
  <si>
    <t>Δ Acimuts (cc)</t>
  </si>
  <si>
    <t>Δ Distancias (m)</t>
  </si>
  <si>
    <t>σAH(m)</t>
  </si>
  <si>
    <t>Ecuación</t>
  </si>
  <si>
    <t>dx_P1</t>
  </si>
  <si>
    <t>dy_P1</t>
  </si>
  <si>
    <t>Dirección</t>
  </si>
  <si>
    <t>Distancia</t>
  </si>
  <si>
    <t xml:space="preserve">Ecuaciones = Número de filas de la matriz A </t>
  </si>
  <si>
    <t>Incógnitas = Número de columnas de la matriz A</t>
  </si>
  <si>
    <t>Matriz A</t>
  </si>
  <si>
    <t>Cálculo de parámetros</t>
  </si>
  <si>
    <t>Cálculo de coordenadas aproximadas</t>
  </si>
  <si>
    <t>Matriz L</t>
  </si>
  <si>
    <t>Nº Columnas = Nº Filas = Número de visuales (ya corregidas por Bessel) multiplicado por 2.</t>
  </si>
  <si>
    <t>Generación matriz A (a_matrix)</t>
  </si>
  <si>
    <t>Generación matriz L (l_matrix)</t>
  </si>
  <si>
    <t>Generación matriz P (p_matrix)</t>
  </si>
  <si>
    <r>
      <t>(a_matrix)</t>
    </r>
    <r>
      <rPr>
        <vertAlign val="superscript"/>
        <sz val="11"/>
        <color theme="1"/>
        <rFont val="Aptos Narrow"/>
        <family val="2"/>
        <scheme val="minor"/>
      </rPr>
      <t>t</t>
    </r>
  </si>
  <si>
    <t>tra_a_matrix =</t>
  </si>
  <si>
    <t>tra_a_matrix · p_matrix</t>
  </si>
  <si>
    <t>tra_a_p_matrix =</t>
  </si>
  <si>
    <t>Matriz P</t>
  </si>
  <si>
    <t>n_matrix =</t>
  </si>
  <si>
    <t>tra_a_p_matrix · a_matrix</t>
  </si>
  <si>
    <t>inver_n_matrix =</t>
  </si>
  <si>
    <r>
      <t>(n_matrix)</t>
    </r>
    <r>
      <rPr>
        <vertAlign val="superscript"/>
        <sz val="11"/>
        <color theme="1"/>
        <rFont val="Aptos Narrow"/>
        <family val="2"/>
        <scheme val="minor"/>
      </rPr>
      <t>-1</t>
    </r>
  </si>
  <si>
    <t>t_matrix =</t>
  </si>
  <si>
    <t>tra_a_p_matrix · l_matrix</t>
  </si>
  <si>
    <t>x_matrix =</t>
  </si>
  <si>
    <t>inver_n_matrix · t_matrix</t>
  </si>
  <si>
    <t>v_matrix =</t>
  </si>
  <si>
    <t>a_matrix · x_matrix - l_matrix</t>
  </si>
  <si>
    <t>tra_v_matrix =</t>
  </si>
  <si>
    <r>
      <t>(v_matrix)</t>
    </r>
    <r>
      <rPr>
        <vertAlign val="superscript"/>
        <sz val="11"/>
        <color theme="1"/>
        <rFont val="Aptos Narrow"/>
        <family val="2"/>
        <scheme val="minor"/>
      </rPr>
      <t>t</t>
    </r>
  </si>
  <si>
    <t>tra_v_p_matrix =</t>
  </si>
  <si>
    <t>tra_v_matrix · p_matrix</t>
  </si>
  <si>
    <t>num_equations_matrix =</t>
  </si>
  <si>
    <t>número de filas de (a_matrix)</t>
  </si>
  <si>
    <t>num_unknowns_matrix =</t>
  </si>
  <si>
    <t>número de columnas de (a_matrix)</t>
  </si>
  <si>
    <t>red_matrix =</t>
  </si>
  <si>
    <t>num_equations_matrix - num_unknowns_matrix</t>
  </si>
  <si>
    <t>var_post_matrix =</t>
  </si>
  <si>
    <t>(tra_v_p_matrix · v_matrix)/ red_matrix</t>
  </si>
  <si>
    <t>desv_post_matrix =</t>
  </si>
  <si>
    <t>√(var_post_matrix)</t>
  </si>
  <si>
    <t>inter_conf_matrix =</t>
  </si>
  <si>
    <t>editable por el usuario</t>
  </si>
  <si>
    <t>prec_matrix =</t>
  </si>
  <si>
    <t>matriz de precisiones</t>
  </si>
  <si>
    <t>dx_C3</t>
  </si>
  <si>
    <t>dy_C3</t>
  </si>
  <si>
    <t>dx_C6</t>
  </si>
  <si>
    <t>dy_C6</t>
  </si>
  <si>
    <t>dx_C8</t>
  </si>
  <si>
    <t>dy_C8</t>
  </si>
  <si>
    <t>adjust_matrix =</t>
  </si>
  <si>
    <t>matriz de valores ajustados</t>
  </si>
  <si>
    <t xml:space="preserve">X ajustada monCalc (m) </t>
  </si>
  <si>
    <t xml:space="preserve">Y ajustada monCalc (m) </t>
  </si>
  <si>
    <t xml:space="preserve">Z ajustada monCalc (m) </t>
  </si>
  <si>
    <t>Diferencia entre Excel y Topodata</t>
  </si>
  <si>
    <t>X (m)</t>
  </si>
  <si>
    <t>Y (m)</t>
  </si>
  <si>
    <t>Diferencia entre Excel y monCalc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</si>
</sst>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
    <numFmt numFmtId="166" formatCode="0.00000"/>
    <numFmt numFmtId="167" formatCode="0.000000"/>
    <numFmt numFmtId="168" formatCode="0.000000000000"/>
    <numFmt numFmtId="169" formatCode="0.00000000"/>
    <numFmt numFmtId="170" formatCode="0.00000000000000"/>
  </numFmts>
  <fonts count="11" x14ac:knownFonts="1">
    <font>
      <sz val="11"/>
      <color theme="1"/>
      <name val="Aptos Narrow"/>
      <family val="2"/>
      <scheme val="minor"/>
    </font>
    <font>
      <sz val="8"/>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sz val="14"/>
      <name val="Aptos Narrow"/>
      <family val="2"/>
      <scheme val="minor"/>
    </font>
    <font>
      <vertAlign val="subscript"/>
      <sz val="14"/>
      <name val="Aptos Narrow"/>
      <family val="2"/>
      <scheme val="minor"/>
    </font>
    <font>
      <b/>
      <sz val="24"/>
      <color theme="1"/>
      <name val="Aptos Narrow"/>
      <family val="2"/>
      <scheme val="minor"/>
    </font>
    <font>
      <vertAlign val="subscript"/>
      <sz val="14"/>
      <color theme="1"/>
      <name val="Aptos Narrow"/>
      <family val="2"/>
      <scheme val="minor"/>
    </font>
    <font>
      <sz val="11"/>
      <color theme="1"/>
      <name val="Aptos Narrow"/>
      <family val="2"/>
    </font>
    <font>
      <vertAlign val="superscript"/>
      <sz val="11"/>
      <color theme="1"/>
      <name val="Aptos Narrow"/>
      <family val="2"/>
      <scheme val="minor"/>
    </font>
  </fonts>
  <fills count="14">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E59EDD"/>
        <bgColor indexed="64"/>
      </patternFill>
    </fill>
    <fill>
      <patternFill patternType="solid">
        <fgColor theme="2" tint="-0.249977111117893"/>
        <bgColor indexed="64"/>
      </patternFill>
    </fill>
    <fill>
      <patternFill patternType="solid">
        <fgColor rgb="FF92D050"/>
        <bgColor rgb="FF000000"/>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bottom style="dotted">
        <color indexed="64"/>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133">
    <xf numFmtId="0" fontId="0" fillId="0" borderId="0" xfId="0"/>
    <xf numFmtId="0" fontId="0" fillId="0" borderId="0" xfId="0" applyAlignment="1">
      <alignment wrapText="1"/>
    </xf>
    <xf numFmtId="22" fontId="0" fillId="0" borderId="0" xfId="0" applyNumberFormat="1"/>
    <xf numFmtId="0" fontId="0" fillId="0" borderId="1" xfId="0" applyBorder="1" applyAlignment="1">
      <alignment wrapText="1"/>
    </xf>
    <xf numFmtId="167" fontId="0" fillId="0" borderId="0" xfId="0" applyNumberFormat="1"/>
    <xf numFmtId="0" fontId="0" fillId="0" borderId="2" xfId="0" applyBorder="1"/>
    <xf numFmtId="0" fontId="0" fillId="4" borderId="1" xfId="0" applyFill="1" applyBorder="1"/>
    <xf numFmtId="1" fontId="0" fillId="2" borderId="1" xfId="0" applyNumberFormat="1" applyFill="1" applyBorder="1"/>
    <xf numFmtId="168" fontId="0" fillId="0" borderId="0" xfId="0" applyNumberFormat="1"/>
    <xf numFmtId="22" fontId="0" fillId="0" borderId="5" xfId="0" applyNumberFormat="1" applyBorder="1"/>
    <xf numFmtId="0" fontId="0" fillId="5" borderId="8" xfId="0" applyFill="1" applyBorder="1"/>
    <xf numFmtId="0" fontId="0" fillId="0" borderId="0" xfId="0" applyAlignment="1">
      <alignment horizontal="center"/>
    </xf>
    <xf numFmtId="0" fontId="2" fillId="0" borderId="0" xfId="0" applyFont="1"/>
    <xf numFmtId="0" fontId="0" fillId="0" borderId="1" xfId="0" applyBorder="1" applyAlignment="1">
      <alignment horizontal="center" wrapText="1"/>
    </xf>
    <xf numFmtId="165" fontId="0" fillId="3" borderId="1" xfId="0" applyNumberFormat="1" applyFill="1" applyBorder="1" applyAlignment="1">
      <alignment horizontal="center"/>
    </xf>
    <xf numFmtId="165" fontId="4" fillId="3" borderId="1" xfId="0" applyNumberFormat="1" applyFont="1" applyFill="1" applyBorder="1" applyAlignment="1">
      <alignment horizontal="center"/>
    </xf>
    <xf numFmtId="0" fontId="4" fillId="5" borderId="7" xfId="0" applyFont="1" applyFill="1" applyBorder="1"/>
    <xf numFmtId="0" fontId="4" fillId="0" borderId="0" xfId="0" applyFont="1"/>
    <xf numFmtId="2" fontId="4" fillId="4" borderId="6" xfId="0" applyNumberFormat="1" applyFont="1" applyFill="1" applyBorder="1"/>
    <xf numFmtId="2" fontId="4" fillId="4" borderId="7" xfId="0" applyNumberFormat="1" applyFont="1" applyFill="1" applyBorder="1"/>
    <xf numFmtId="0" fontId="4" fillId="5" borderId="4" xfId="0" applyFont="1" applyFill="1" applyBorder="1"/>
    <xf numFmtId="167" fontId="4" fillId="0" borderId="0" xfId="0" applyNumberFormat="1" applyFont="1"/>
    <xf numFmtId="2" fontId="4" fillId="0" borderId="5" xfId="0" applyNumberFormat="1" applyFont="1" applyBorder="1"/>
    <xf numFmtId="2" fontId="4" fillId="4" borderId="4" xfId="0" applyNumberFormat="1" applyFont="1" applyFill="1" applyBorder="1"/>
    <xf numFmtId="0" fontId="4" fillId="5" borderId="3" xfId="0" applyFont="1" applyFill="1" applyBorder="1"/>
    <xf numFmtId="0" fontId="4" fillId="0" borderId="2" xfId="0" applyFont="1" applyBorder="1" applyAlignment="1">
      <alignment wrapText="1"/>
    </xf>
    <xf numFmtId="0" fontId="7" fillId="0" borderId="0" xfId="0" applyFont="1" applyAlignment="1">
      <alignment vertical="center"/>
    </xf>
    <xf numFmtId="0" fontId="0" fillId="6" borderId="1" xfId="0" applyFill="1" applyBorder="1"/>
    <xf numFmtId="0" fontId="5" fillId="0" borderId="1" xfId="0" applyFont="1" applyBorder="1"/>
    <xf numFmtId="0" fontId="4" fillId="6" borderId="3" xfId="0" applyFont="1" applyFill="1" applyBorder="1"/>
    <xf numFmtId="0" fontId="4" fillId="4" borderId="1" xfId="0" applyFont="1" applyFill="1" applyBorder="1"/>
    <xf numFmtId="164" fontId="0" fillId="2" borderId="1" xfId="0" applyNumberFormat="1" applyFill="1" applyBorder="1"/>
    <xf numFmtId="165" fontId="4" fillId="0" borderId="1" xfId="0" applyNumberFormat="1" applyFont="1" applyBorder="1"/>
    <xf numFmtId="164" fontId="4" fillId="0" borderId="1" xfId="0" applyNumberFormat="1" applyFont="1" applyBorder="1" applyAlignment="1">
      <alignment horizontal="center"/>
    </xf>
    <xf numFmtId="0" fontId="4" fillId="3" borderId="1" xfId="0" applyFont="1" applyFill="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165" fontId="0" fillId="0" borderId="0" xfId="0" applyNumberFormat="1"/>
    <xf numFmtId="2" fontId="0" fillId="0" borderId="5" xfId="0" applyNumberFormat="1" applyBorder="1" applyAlignment="1">
      <alignment wrapText="1"/>
    </xf>
    <xf numFmtId="0" fontId="0" fillId="5" borderId="3" xfId="0" applyFill="1" applyBorder="1"/>
    <xf numFmtId="2" fontId="0" fillId="4" borderId="3" xfId="0" applyNumberFormat="1" applyFill="1" applyBorder="1"/>
    <xf numFmtId="0" fontId="0" fillId="0" borderId="2" xfId="0" applyBorder="1" applyAlignment="1">
      <alignment wrapText="1"/>
    </xf>
    <xf numFmtId="2" fontId="0" fillId="0" borderId="2" xfId="0" applyNumberFormat="1" applyBorder="1" applyAlignment="1">
      <alignment wrapText="1"/>
    </xf>
    <xf numFmtId="0" fontId="9" fillId="0" borderId="2" xfId="0" applyFont="1" applyBorder="1" applyAlignment="1">
      <alignment wrapText="1"/>
    </xf>
    <xf numFmtId="2" fontId="0" fillId="4" borderId="1" xfId="0" applyNumberFormat="1" applyFill="1" applyBorder="1"/>
    <xf numFmtId="0" fontId="4" fillId="0" borderId="1" xfId="0" applyFont="1" applyBorder="1" applyAlignment="1">
      <alignment horizontal="center" wrapText="1"/>
    </xf>
    <xf numFmtId="0" fontId="9" fillId="0" borderId="1" xfId="0" applyFont="1" applyBorder="1" applyAlignment="1">
      <alignment horizontal="center" wrapText="1"/>
    </xf>
    <xf numFmtId="165" fontId="0" fillId="4" borderId="1" xfId="0" applyNumberFormat="1" applyFill="1" applyBorder="1"/>
    <xf numFmtId="166" fontId="0" fillId="4" borderId="1" xfId="0" applyNumberFormat="1" applyFill="1" applyBorder="1"/>
    <xf numFmtId="164" fontId="0" fillId="0" borderId="1" xfId="0" applyNumberFormat="1" applyBorder="1"/>
    <xf numFmtId="165" fontId="9" fillId="7" borderId="1" xfId="0" applyNumberFormat="1" applyFont="1" applyFill="1" applyBorder="1" applyAlignment="1">
      <alignment horizontal="center"/>
    </xf>
    <xf numFmtId="166" fontId="4" fillId="3" borderId="1" xfId="0" applyNumberFormat="1" applyFont="1" applyFill="1" applyBorder="1"/>
    <xf numFmtId="166" fontId="4" fillId="3" borderId="1" xfId="0" applyNumberFormat="1" applyFont="1" applyFill="1" applyBorder="1" applyAlignment="1">
      <alignment horizontal="center"/>
    </xf>
    <xf numFmtId="165" fontId="4" fillId="3" borderId="1" xfId="0" applyNumberFormat="1" applyFont="1" applyFill="1" applyBorder="1"/>
    <xf numFmtId="164" fontId="4" fillId="3" borderId="1" xfId="0" applyNumberFormat="1" applyFont="1" applyFill="1" applyBorder="1" applyAlignment="1">
      <alignment horizontal="center"/>
    </xf>
    <xf numFmtId="164" fontId="9" fillId="7" borderId="1" xfId="0" applyNumberFormat="1" applyFont="1" applyFill="1" applyBorder="1" applyAlignment="1">
      <alignment horizontal="center"/>
    </xf>
    <xf numFmtId="169" fontId="4" fillId="3" borderId="1" xfId="0" applyNumberFormat="1" applyFont="1" applyFill="1" applyBorder="1"/>
    <xf numFmtId="0" fontId="3" fillId="0" borderId="0" xfId="0" applyFont="1" applyAlignment="1">
      <alignment wrapText="1"/>
    </xf>
    <xf numFmtId="0" fontId="3" fillId="0" borderId="0" xfId="0" applyFont="1"/>
    <xf numFmtId="0" fontId="0" fillId="8" borderId="0" xfId="0" applyFill="1"/>
    <xf numFmtId="0" fontId="0" fillId="9" borderId="0" xfId="0" applyFill="1"/>
    <xf numFmtId="0" fontId="0" fillId="10" borderId="0" xfId="0" applyFill="1"/>
    <xf numFmtId="0" fontId="0" fillId="6" borderId="0" xfId="0" applyFill="1"/>
    <xf numFmtId="165" fontId="0" fillId="8" borderId="10" xfId="0" applyNumberFormat="1" applyFill="1" applyBorder="1"/>
    <xf numFmtId="165" fontId="0" fillId="8" borderId="11" xfId="0" applyNumberFormat="1" applyFill="1" applyBorder="1"/>
    <xf numFmtId="0" fontId="0" fillId="0" borderId="11" xfId="0" applyBorder="1"/>
    <xf numFmtId="0" fontId="0" fillId="0" borderId="12" xfId="0" applyBorder="1"/>
    <xf numFmtId="0" fontId="0" fillId="0" borderId="13" xfId="0" applyBorder="1"/>
    <xf numFmtId="0" fontId="0" fillId="0" borderId="14" xfId="0" applyBorder="1"/>
    <xf numFmtId="165" fontId="0" fillId="10" borderId="0" xfId="0" applyNumberFormat="1" applyFill="1"/>
    <xf numFmtId="0" fontId="0" fillId="6" borderId="15" xfId="0" applyFill="1" applyBorder="1"/>
    <xf numFmtId="0" fontId="0" fillId="0" borderId="15" xfId="0" applyBorder="1"/>
    <xf numFmtId="0" fontId="0" fillId="0" borderId="16" xfId="0" applyBorder="1"/>
    <xf numFmtId="165" fontId="0" fillId="6" borderId="15" xfId="0" applyNumberFormat="1" applyFill="1" applyBorder="1"/>
    <xf numFmtId="165" fontId="0" fillId="6" borderId="17" xfId="0" applyNumberFormat="1" applyFill="1" applyBorder="1"/>
    <xf numFmtId="0" fontId="0" fillId="0" borderId="18" xfId="0" applyBorder="1"/>
    <xf numFmtId="0" fontId="0" fillId="0" borderId="19" xfId="0" applyBorder="1"/>
    <xf numFmtId="165" fontId="0" fillId="6" borderId="19" xfId="0" applyNumberFormat="1" applyFill="1" applyBorder="1"/>
    <xf numFmtId="165" fontId="0" fillId="6" borderId="9" xfId="0" applyNumberFormat="1" applyFill="1" applyBorder="1"/>
    <xf numFmtId="0" fontId="0" fillId="0" borderId="20" xfId="0" applyBorder="1"/>
    <xf numFmtId="0" fontId="0" fillId="0" borderId="22" xfId="0" applyBorder="1"/>
    <xf numFmtId="0" fontId="0" fillId="0" borderId="5" xfId="0" applyBorder="1"/>
    <xf numFmtId="164" fontId="0" fillId="8" borderId="23" xfId="0" applyNumberFormat="1" applyFill="1" applyBorder="1"/>
    <xf numFmtId="164" fontId="0" fillId="10" borderId="24" xfId="0" applyNumberFormat="1" applyFill="1" applyBorder="1"/>
    <xf numFmtId="164" fontId="0" fillId="6" borderId="25" xfId="0" applyNumberFormat="1" applyFill="1" applyBorder="1"/>
    <xf numFmtId="164" fontId="0" fillId="8" borderId="24" xfId="0" applyNumberFormat="1" applyFill="1" applyBorder="1"/>
    <xf numFmtId="164" fontId="0" fillId="6" borderId="21" xfId="0" applyNumberFormat="1" applyFill="1" applyBorder="1"/>
    <xf numFmtId="0" fontId="0" fillId="8" borderId="22" xfId="0" applyFill="1" applyBorder="1"/>
    <xf numFmtId="0" fontId="0" fillId="8" borderId="10" xfId="0" applyFill="1" applyBorder="1"/>
    <xf numFmtId="0" fontId="0" fillId="0" borderId="26" xfId="0" applyBorder="1"/>
    <xf numFmtId="0" fontId="0" fillId="0" borderId="17" xfId="0" applyBorder="1"/>
    <xf numFmtId="0" fontId="0" fillId="0" borderId="27" xfId="0" applyBorder="1"/>
    <xf numFmtId="0" fontId="0" fillId="6" borderId="9" xfId="0" applyFill="1" applyBorder="1"/>
    <xf numFmtId="0" fontId="0" fillId="0" borderId="10" xfId="0" applyBorder="1"/>
    <xf numFmtId="0" fontId="0" fillId="0" borderId="9" xfId="0" applyBorder="1"/>
    <xf numFmtId="0" fontId="0" fillId="11" borderId="0" xfId="0" applyFill="1"/>
    <xf numFmtId="0" fontId="0" fillId="0" borderId="23" xfId="0" applyBorder="1"/>
    <xf numFmtId="0" fontId="0" fillId="0" borderId="24" xfId="0" applyBorder="1"/>
    <xf numFmtId="0" fontId="0" fillId="0" borderId="21" xfId="0" applyBorder="1"/>
    <xf numFmtId="164" fontId="0" fillId="0" borderId="23" xfId="0" applyNumberFormat="1" applyBorder="1"/>
    <xf numFmtId="0" fontId="0" fillId="0" borderId="6" xfId="0" applyBorder="1"/>
    <xf numFmtId="0" fontId="0" fillId="0" borderId="29" xfId="0" applyBorder="1"/>
    <xf numFmtId="0" fontId="0" fillId="0" borderId="7" xfId="0" applyBorder="1"/>
    <xf numFmtId="1" fontId="0" fillId="0" borderId="28" xfId="0" applyNumberFormat="1" applyBorder="1" applyAlignment="1">
      <alignment horizontal="center"/>
    </xf>
    <xf numFmtId="170" fontId="9" fillId="11" borderId="0" xfId="0" applyNumberFormat="1" applyFont="1" applyFill="1"/>
    <xf numFmtId="0" fontId="0" fillId="0" borderId="28" xfId="0" applyBorder="1" applyAlignment="1">
      <alignment horizontal="center"/>
    </xf>
    <xf numFmtId="0" fontId="0" fillId="8" borderId="1" xfId="0" applyFill="1" applyBorder="1"/>
    <xf numFmtId="0" fontId="0" fillId="9" borderId="1" xfId="0" applyFill="1" applyBorder="1"/>
    <xf numFmtId="0" fontId="0" fillId="10" borderId="1" xfId="0" applyFill="1" applyBorder="1"/>
    <xf numFmtId="0" fontId="0" fillId="0" borderId="1" xfId="0" applyBorder="1"/>
    <xf numFmtId="0" fontId="0" fillId="12" borderId="0" xfId="0" applyFill="1"/>
    <xf numFmtId="165" fontId="0" fillId="12" borderId="0" xfId="0" applyNumberFormat="1" applyFill="1"/>
    <xf numFmtId="164" fontId="0" fillId="12" borderId="24" xfId="0" applyNumberFormat="1" applyFill="1" applyBorder="1"/>
    <xf numFmtId="0" fontId="4" fillId="13" borderId="3" xfId="0" applyFont="1" applyFill="1" applyBorder="1"/>
    <xf numFmtId="164" fontId="0" fillId="13" borderId="1" xfId="0" applyNumberFormat="1" applyFill="1" applyBorder="1"/>
    <xf numFmtId="0" fontId="0" fillId="13" borderId="1" xfId="0" applyFill="1" applyBorder="1"/>
    <xf numFmtId="0" fontId="0" fillId="0" borderId="2" xfId="0" applyBorder="1" applyAlignment="1">
      <alignment horizontal="center" wrapText="1"/>
    </xf>
    <xf numFmtId="0" fontId="3" fillId="0" borderId="10" xfId="0" applyFont="1" applyBorder="1"/>
    <xf numFmtId="0" fontId="3" fillId="0" borderId="12" xfId="0" applyFont="1" applyBorder="1"/>
    <xf numFmtId="0" fontId="4" fillId="13" borderId="30" xfId="0" applyFont="1" applyFill="1" applyBorder="1"/>
    <xf numFmtId="0" fontId="3" fillId="0" borderId="31" xfId="0" applyFont="1" applyBorder="1" applyAlignment="1">
      <alignment horizontal="center" wrapText="1"/>
    </xf>
    <xf numFmtId="0" fontId="3" fillId="0" borderId="32" xfId="0" applyFont="1" applyBorder="1" applyAlignment="1">
      <alignment horizontal="center" wrapText="1"/>
    </xf>
    <xf numFmtId="164" fontId="0" fillId="0" borderId="31" xfId="0" applyNumberFormat="1" applyBorder="1"/>
    <xf numFmtId="164" fontId="0" fillId="0" borderId="32" xfId="0" applyNumberFormat="1" applyBorder="1"/>
    <xf numFmtId="164" fontId="0" fillId="0" borderId="33" xfId="0" applyNumberFormat="1" applyBorder="1"/>
    <xf numFmtId="164" fontId="0" fillId="0" borderId="34" xfId="0" applyNumberFormat="1" applyBorder="1"/>
    <xf numFmtId="0" fontId="3" fillId="0" borderId="35" xfId="0" applyFont="1" applyBorder="1"/>
    <xf numFmtId="0" fontId="3" fillId="0" borderId="36" xfId="0" applyFont="1" applyBorder="1"/>
    <xf numFmtId="165" fontId="0" fillId="0" borderId="31" xfId="0" applyNumberFormat="1" applyBorder="1"/>
    <xf numFmtId="165" fontId="0" fillId="0" borderId="32" xfId="0" applyNumberFormat="1" applyBorder="1"/>
    <xf numFmtId="165" fontId="0" fillId="0" borderId="33" xfId="0" applyNumberFormat="1" applyBorder="1"/>
    <xf numFmtId="165" fontId="0" fillId="0" borderId="34" xfId="0" applyNumberFormat="1" applyBorder="1"/>
    <xf numFmtId="0" fontId="4" fillId="13" borderId="1" xfId="0" applyFont="1" applyFill="1" applyBorder="1"/>
  </cellXfs>
  <cellStyles count="1">
    <cellStyle name="Normal" xfId="0" builtinId="0"/>
  </cellStyles>
  <dxfs count="0"/>
  <tableStyles count="0" defaultTableStyle="TableStyleMedium2" defaultPivotStyle="PivotStyleLight16"/>
  <colors>
    <mruColors>
      <color rgb="FFFFC000"/>
      <color rgb="FFE59E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60960</xdr:colOff>
      <xdr:row>29</xdr:row>
      <xdr:rowOff>7620</xdr:rowOff>
    </xdr:from>
    <xdr:to>
      <xdr:col>10</xdr:col>
      <xdr:colOff>365760</xdr:colOff>
      <xdr:row>37</xdr:row>
      <xdr:rowOff>0</xdr:rowOff>
    </xdr:to>
    <xdr:sp macro="" textlink="">
      <xdr:nvSpPr>
        <xdr:cNvPr id="2" name="Cerrar llave 1">
          <a:extLst>
            <a:ext uri="{FF2B5EF4-FFF2-40B4-BE49-F238E27FC236}">
              <a16:creationId xmlns:a16="http://schemas.microsoft.com/office/drawing/2014/main" id="{95A43574-6EE2-4D0D-B7AD-AFFAFD47F9E1}"/>
            </a:ext>
          </a:extLst>
        </xdr:cNvPr>
        <xdr:cNvSpPr/>
      </xdr:nvSpPr>
      <xdr:spPr>
        <a:xfrm>
          <a:off x="9288780" y="2758440"/>
          <a:ext cx="304800" cy="1828800"/>
        </a:xfrm>
        <a:prstGeom prst="rightBrace">
          <a:avLst>
            <a:gd name="adj1" fmla="val 8333"/>
            <a:gd name="adj2" fmla="val 55417"/>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xdr:col>
      <xdr:colOff>19050</xdr:colOff>
      <xdr:row>38</xdr:row>
      <xdr:rowOff>0</xdr:rowOff>
    </xdr:from>
    <xdr:to>
      <xdr:col>10</xdr:col>
      <xdr:colOff>8282</xdr:colOff>
      <xdr:row>39</xdr:row>
      <xdr:rowOff>133350</xdr:rowOff>
    </xdr:to>
    <xdr:sp macro="" textlink="">
      <xdr:nvSpPr>
        <xdr:cNvPr id="3" name="Cerrar llave 2">
          <a:extLst>
            <a:ext uri="{FF2B5EF4-FFF2-40B4-BE49-F238E27FC236}">
              <a16:creationId xmlns:a16="http://schemas.microsoft.com/office/drawing/2014/main" id="{C77C88FA-344F-45EB-843F-34312F04D818}"/>
            </a:ext>
          </a:extLst>
        </xdr:cNvPr>
        <xdr:cNvSpPr/>
      </xdr:nvSpPr>
      <xdr:spPr>
        <a:xfrm rot="5400000">
          <a:off x="6643480" y="6544918"/>
          <a:ext cx="315568" cy="7534688"/>
        </a:xfrm>
        <a:prstGeom prst="rightBrace">
          <a:avLst>
            <a:gd name="adj1" fmla="val 8333"/>
            <a:gd name="adj2" fmla="val 53131"/>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10</xdr:col>
      <xdr:colOff>92600</xdr:colOff>
      <xdr:row>61</xdr:row>
      <xdr:rowOff>182218</xdr:rowOff>
    </xdr:from>
    <xdr:to>
      <xdr:col>10</xdr:col>
      <xdr:colOff>397400</xdr:colOff>
      <xdr:row>70</xdr:row>
      <xdr:rowOff>3148</xdr:rowOff>
    </xdr:to>
    <xdr:sp macro="" textlink="">
      <xdr:nvSpPr>
        <xdr:cNvPr id="4" name="Cerrar llave 3">
          <a:extLst>
            <a:ext uri="{FF2B5EF4-FFF2-40B4-BE49-F238E27FC236}">
              <a16:creationId xmlns:a16="http://schemas.microsoft.com/office/drawing/2014/main" id="{598F1744-EB1B-4956-9704-07EAE846B660}"/>
            </a:ext>
          </a:extLst>
        </xdr:cNvPr>
        <xdr:cNvSpPr/>
      </xdr:nvSpPr>
      <xdr:spPr>
        <a:xfrm>
          <a:off x="10652926" y="16565218"/>
          <a:ext cx="304800" cy="1477452"/>
        </a:xfrm>
        <a:prstGeom prst="rightBrace">
          <a:avLst>
            <a:gd name="adj1" fmla="val 8333"/>
            <a:gd name="adj2" fmla="val 55417"/>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xdr:col>
      <xdr:colOff>22860</xdr:colOff>
      <xdr:row>71</xdr:row>
      <xdr:rowOff>1</xdr:rowOff>
    </xdr:from>
    <xdr:to>
      <xdr:col>9</xdr:col>
      <xdr:colOff>1673087</xdr:colOff>
      <xdr:row>72</xdr:row>
      <xdr:rowOff>129541</xdr:rowOff>
    </xdr:to>
    <xdr:sp macro="" textlink="">
      <xdr:nvSpPr>
        <xdr:cNvPr id="5" name="Cerrar llave 4">
          <a:extLst>
            <a:ext uri="{FF2B5EF4-FFF2-40B4-BE49-F238E27FC236}">
              <a16:creationId xmlns:a16="http://schemas.microsoft.com/office/drawing/2014/main" id="{1228FA26-4444-4E61-8307-653377470D23}"/>
            </a:ext>
          </a:extLst>
        </xdr:cNvPr>
        <xdr:cNvSpPr/>
      </xdr:nvSpPr>
      <xdr:spPr>
        <a:xfrm rot="5400000">
          <a:off x="6630725" y="14628745"/>
          <a:ext cx="311758" cy="7497748"/>
        </a:xfrm>
        <a:prstGeom prst="rightBrace">
          <a:avLst>
            <a:gd name="adj1" fmla="val 8333"/>
            <a:gd name="adj2" fmla="val 53131"/>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ES" sz="1100"/>
        </a:p>
      </xdr:txBody>
    </xdr:sp>
    <xdr:clientData/>
  </xdr:twoCellAnchor>
</xdr:wsDr>
</file>

<file path=xl/persons/person.xml><?xml version="1.0" encoding="utf-8"?>
<personList xmlns="http://schemas.microsoft.com/office/spreadsheetml/2018/threadedcomments" xmlns:x="http://schemas.openxmlformats.org/spreadsheetml/2006/main">
  <person displayName="Pou Peña, Guillermo" id="{DB3B072B-77EB-4CBB-B34A-191E50B9A364}" userId="S::gpou@ofiteco.com::b6e8f51f-6c67-42f8-935b-adeb13ebe17f"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6-02-02T22:35:32.43" personId="{DB3B072B-77EB-4CBB-B34A-191E50B9A364}" id="{55FB3767-EDA2-4B14-A126-C611E2B3E671}">
    <text>Pasa de ángulos centesimales (gones) a ángulos radianes.</text>
  </threadedComment>
  <threadedComment ref="B5" dT="2026-02-04T22:18:50.89" personId="{DB3B072B-77EB-4CBB-B34A-191E50B9A364}" id="{1C7D67B8-EC3A-47EA-A02B-2C010620B890}">
    <text>Pasa de ángulos radianes a ángulos centesimales (gon).</text>
  </threadedComment>
  <threadedComment ref="B6" dT="2026-02-23T15:13:48.75" personId="{DB3B072B-77EB-4CBB-B34A-191E50B9A364}" id="{FBFB6044-F600-4BDD-B8BD-FA5254FA808E}">
    <text>Pasa de segundos de ángulos sexagesimales (‘’) a segundos de ángulos centesimales (cc)</text>
  </threadedComment>
  <threadedComment ref="J6" dT="2026-02-23T16:57:33.17" personId="{DB3B072B-77EB-4CBB-B34A-191E50B9A364}" id="{44C4EA4F-5C82-46F5-B140-87F3AC2F7740}">
    <text>El error del distanciómetro se compone de una parte fija y otra proporcional a la distancia. Si según el fabricante la precisión es 0.8 mm + 1 ppm (parte por millón), estos serán los errores en función de la distancia:
1 m: error de 0.8 mm
1000 m: error de 1.8 mm
2000 m: error de 2.8 mm</text>
  </threadedComment>
  <threadedComment ref="B7" dT="2026-02-02T22:35:32.43" personId="{DB3B072B-77EB-4CBB-B34A-191E50B9A364}" id="{520473D1-9D3C-4781-B3AF-400ABA463A05}">
    <text>Pasa de ángulos radianes a segundos de ángulos centesimales (cc).</text>
  </threadedComment>
  <threadedComment ref="A11" dT="2026-02-04T23:06:24.71" personId="{DB3B072B-77EB-4CBB-B34A-191E50B9A364}" id="{A20A0E7F-452A-4B8E-852F-8DD8442801A3}">
    <text>Los puntos de color rojo son referencias de las que ya se conocen sus coordenadas.  Solamente se calculan en este caso para corroborar que sus coordenadas son similares a las coordenadas de partida.</text>
  </threadedComment>
  <threadedComment ref="E11" dT="2026-02-02T21:51:32.37" personId="{DB3B072B-77EB-4CBB-B34A-191E50B9A364}" id="{69CA57D1-862A-4C5C-9CAC-D1598213A680}">
    <text>i = instrumento. Altura de la estación total sobre el suelo. En auscultación casi siempre es 0.</text>
  </threadedComment>
  <threadedComment ref="F11" dT="2026-02-02T21:52:39.42" personId="{DB3B072B-77EB-4CBB-B34A-191E50B9A364}" id="{F47E7725-4A37-42C5-B59C-0F073F4EBC69}">
    <text>m = mira. Altura del jalón, distancia desde el prisma hasta el suelo. En auscultación casi siempre es 0</text>
  </threadedComment>
  <threadedComment ref="A20" dT="2026-02-04T23:06:24.71" personId="{DB3B072B-77EB-4CBB-B34A-191E50B9A364}" id="{12AB050B-0EB6-410B-BBB4-8D5941C3CCD2}">
    <text>Solamente se calculan los puntos de control. Las referencias se calcularán más adelante.</text>
  </threadedComment>
  <threadedComment ref="D20" dT="2026-02-23T16:32:31.36" personId="{DB3B072B-77EB-4CBB-B34A-191E50B9A364}" id="{5ED3A4C2-73C6-44B9-B4DF-8777DA81DDBE}">
    <text xml:space="preserve">Es el error con el que se posiciona el prisma en el punto de medición. En auscultación este error debería ser 0, porque los prismas están atornillados siempre en la misma posición. De todas formas, vamos a introducir la variable porque en algún caso se podría utilizar. </text>
  </threadedComment>
  <threadedComment ref="E20" dT="2026-02-23T17:25:33.07" personId="{DB3B072B-77EB-4CBB-B34A-191E50B9A364}" id="{BB10B07E-AC0E-4AED-BDBE-7D57BAD4445E}">
    <text>No siempre es constante. Depende del teodolito, del tipo de prisma/diana y, si la puntería es manual, también depende del topógrafo.</text>
  </threadedComment>
  <threadedComment ref="K20" dT="2026-02-23T19:38:22.39" personId="{DB3B072B-77EB-4CBB-B34A-191E50B9A364}" id="{43E2B75C-9242-4F2D-BA13-0DD316DE94B6}">
    <text>Se obtienen del cálculo de Coordenadas aproximadas</text>
  </threadedComment>
  <threadedComment ref="L20" dT="2026-02-23T20:15:55.85" personId="{DB3B072B-77EB-4CBB-B34A-191E50B9A364}" id="{3091C209-F448-4FA8-B885-AEADEAC488D0}">
    <text>Se obtiene del cálculo de distancias reducidas.</text>
  </threadedComment>
  <threadedComment ref="Q20" dT="2026-02-23T20:17:15.12" personId="{DB3B072B-77EB-4CBB-B34A-191E50B9A364}" id="{CE5E01DD-7D46-43C3-B2E8-5EF8AF5E5810}">
    <text>Se obtiene del cálculo de distancias reducidas.</text>
  </threadedComment>
  <threadedComment ref="C60" dT="2026-04-06T16:18:17.20" personId="{DB3B072B-77EB-4CBB-B34A-191E50B9A364}" id="{01CBE31E-3A63-4D6D-9EE5-E0BD0936AC64}">
    <text>En la matriz de pesos “P”, el número de filas es igual al número de columnas. Este valor coincide con el número de visuales (ya corregidas por Bessel) multiplicado por 2. Se multiplica por 2 porque cada visual tiene peso en dirección y peso en distancia.</text>
  </threadedComment>
  <threadedComment ref="C60" dT="2026-04-06T16:40:11.74" personId="{DB3B072B-77EB-4CBB-B34A-191E50B9A364}" id="{11800BBA-7807-4E2F-A83F-62C4C080E175}" parentId="{01CBE31E-3A63-4D6D-9EE5-E0BD0936AC64}">
    <text>La matriz P es diagonal, no como la matriz A, que se construye de manera diferente.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4BC45-D4E4-4D57-83C2-37C777479C7F}">
  <dimension ref="A1:W235"/>
  <sheetViews>
    <sheetView tabSelected="1" zoomScale="115" zoomScaleNormal="115" workbookViewId="0">
      <selection activeCell="E4" sqref="E4"/>
    </sheetView>
  </sheetViews>
  <sheetFormatPr baseColWidth="10" defaultRowHeight="14.4" x14ac:dyDescent="0.3"/>
  <cols>
    <col min="1" max="1" width="21.77734375" customWidth="1"/>
    <col min="2" max="2" width="29.21875" bestFit="1" customWidth="1"/>
    <col min="3" max="3" width="13.6640625" bestFit="1" customWidth="1"/>
    <col min="4" max="4" width="13.44140625" bestFit="1" customWidth="1"/>
    <col min="5" max="5" width="11.88671875" bestFit="1" customWidth="1"/>
    <col min="6" max="6" width="11.88671875" customWidth="1"/>
    <col min="7" max="7" width="17.21875" customWidth="1"/>
    <col min="8" max="8" width="14.109375" bestFit="1" customWidth="1"/>
    <col min="9" max="9" width="10.6640625" customWidth="1"/>
    <col min="10" max="10" width="24.77734375" customWidth="1"/>
    <col min="11" max="11" width="10.44140625" customWidth="1"/>
    <col min="12" max="12" width="8.5546875" bestFit="1" customWidth="1"/>
    <col min="13" max="13" width="12.5546875" bestFit="1" customWidth="1"/>
    <col min="14" max="14" width="12.109375" bestFit="1" customWidth="1"/>
    <col min="15" max="15" width="12.44140625" bestFit="1" customWidth="1"/>
    <col min="16" max="16" width="13.109375" bestFit="1" customWidth="1"/>
    <col min="17" max="17" width="12.109375" bestFit="1" customWidth="1"/>
    <col min="18" max="18" width="11.6640625" bestFit="1" customWidth="1"/>
    <col min="19" max="20" width="12" bestFit="1" customWidth="1"/>
    <col min="21" max="21" width="11.6640625" customWidth="1"/>
    <col min="22" max="23" width="11.5546875" bestFit="1" customWidth="1"/>
    <col min="24" max="24" width="7.5546875" bestFit="1" customWidth="1"/>
    <col min="25" max="25" width="22.6640625" customWidth="1"/>
    <col min="26" max="26" width="21.5546875" customWidth="1"/>
    <col min="27" max="27" width="22.5546875" customWidth="1"/>
    <col min="28" max="29" width="21.77734375" customWidth="1"/>
    <col min="30" max="30" width="20.77734375" customWidth="1"/>
    <col min="32" max="32" width="12.5546875" customWidth="1"/>
    <col min="33" max="33" width="13.5546875" customWidth="1"/>
    <col min="34" max="34" width="14.21875" customWidth="1"/>
    <col min="51" max="51" width="19.33203125" customWidth="1"/>
    <col min="55" max="55" width="19.88671875" customWidth="1"/>
  </cols>
  <sheetData>
    <row r="1" spans="1:23" ht="31.8" thickBot="1" x14ac:dyDescent="0.35">
      <c r="B1" s="26" t="s">
        <v>18</v>
      </c>
    </row>
    <row r="2" spans="1:23" ht="21" thickBot="1" x14ac:dyDescent="0.5">
      <c r="B2" s="10" t="s">
        <v>9</v>
      </c>
      <c r="C2" s="16"/>
      <c r="D2" s="17"/>
      <c r="E2" s="17"/>
      <c r="F2" s="17"/>
      <c r="G2" s="28" t="s">
        <v>15</v>
      </c>
      <c r="H2" s="114">
        <v>427252.37579999998</v>
      </c>
      <c r="I2" s="17"/>
      <c r="J2" s="18" t="s">
        <v>8</v>
      </c>
      <c r="K2" s="19"/>
      <c r="L2" s="17"/>
      <c r="P2" s="17"/>
    </row>
    <row r="3" spans="1:23" ht="20.399999999999999" x14ac:dyDescent="0.45">
      <c r="B3" s="9" t="s">
        <v>5</v>
      </c>
      <c r="C3" s="20">
        <f>PI()/200</f>
        <v>1.5707963267948967E-2</v>
      </c>
      <c r="D3" s="17"/>
      <c r="E3" s="17"/>
      <c r="F3" s="17"/>
      <c r="G3" s="28" t="s">
        <v>16</v>
      </c>
      <c r="H3" s="114">
        <v>4583416.8733999999</v>
      </c>
      <c r="I3" s="17"/>
      <c r="J3" s="22" t="s">
        <v>7</v>
      </c>
      <c r="K3" s="23">
        <f>0.13</f>
        <v>0.13</v>
      </c>
      <c r="L3" s="17"/>
      <c r="P3" s="21"/>
      <c r="W3" s="12"/>
    </row>
    <row r="4" spans="1:23" ht="30.6" x14ac:dyDescent="0.45">
      <c r="B4" s="5" t="s">
        <v>6</v>
      </c>
      <c r="C4" s="24">
        <f>6378000</f>
        <v>6378000</v>
      </c>
      <c r="D4" s="17"/>
      <c r="E4" s="17"/>
      <c r="F4" s="17"/>
      <c r="G4" s="28" t="s">
        <v>17</v>
      </c>
      <c r="H4" s="114">
        <v>51.900599999999997</v>
      </c>
      <c r="I4" s="17"/>
      <c r="J4" s="38" t="s">
        <v>37</v>
      </c>
      <c r="K4" s="40">
        <v>0.5</v>
      </c>
      <c r="P4" s="21"/>
    </row>
    <row r="5" spans="1:23" ht="37.799999999999997" customHeight="1" x14ac:dyDescent="0.45">
      <c r="B5" s="41" t="s">
        <v>38</v>
      </c>
      <c r="C5" s="39">
        <f>200/PI()</f>
        <v>63.661977236758133</v>
      </c>
      <c r="D5" s="17"/>
      <c r="E5" s="17"/>
      <c r="F5" s="17"/>
      <c r="G5" s="28" t="s">
        <v>23</v>
      </c>
      <c r="H5" s="115">
        <v>0.99970000000000003</v>
      </c>
      <c r="I5" s="17"/>
      <c r="J5" s="42" t="s">
        <v>37</v>
      </c>
      <c r="K5" s="40">
        <f>K4*C6</f>
        <v>1.5432098765432098</v>
      </c>
      <c r="P5" s="21"/>
    </row>
    <row r="6" spans="1:23" ht="43.2" x14ac:dyDescent="0.3">
      <c r="B6" s="3" t="s">
        <v>39</v>
      </c>
      <c r="C6" s="39">
        <f>250/81</f>
        <v>3.0864197530864197</v>
      </c>
      <c r="E6" s="17"/>
      <c r="G6" s="25" t="s">
        <v>14</v>
      </c>
      <c r="H6" s="132">
        <v>174.1129</v>
      </c>
      <c r="J6" s="43" t="s">
        <v>40</v>
      </c>
      <c r="K6" s="40">
        <f>0.8</f>
        <v>0.8</v>
      </c>
      <c r="L6" s="40" t="s">
        <v>41</v>
      </c>
      <c r="M6" s="44">
        <v>1</v>
      </c>
      <c r="N6" s="44" t="s">
        <v>42</v>
      </c>
      <c r="P6" s="4"/>
    </row>
    <row r="7" spans="1:23" x14ac:dyDescent="0.3">
      <c r="B7" s="5" t="s">
        <v>43</v>
      </c>
      <c r="C7" s="39">
        <f>2000000/PI()</f>
        <v>636619.77236758138</v>
      </c>
      <c r="E7" s="17"/>
      <c r="Q7" s="8"/>
    </row>
    <row r="8" spans="1:23" x14ac:dyDescent="0.3">
      <c r="A8" s="79"/>
      <c r="B8" s="79"/>
      <c r="C8" s="79"/>
      <c r="D8" s="79"/>
      <c r="E8" s="79"/>
      <c r="F8" s="79"/>
      <c r="G8" s="79"/>
      <c r="H8" s="79"/>
      <c r="I8" s="79"/>
      <c r="J8" s="79"/>
      <c r="K8" s="79"/>
      <c r="L8" s="79"/>
      <c r="M8" s="79"/>
      <c r="N8" s="79"/>
      <c r="O8" s="79"/>
      <c r="P8" s="79"/>
      <c r="Q8" s="79"/>
      <c r="R8" s="79"/>
      <c r="S8" s="79"/>
      <c r="T8" s="79"/>
      <c r="U8" s="79"/>
    </row>
    <row r="9" spans="1:23" x14ac:dyDescent="0.3">
      <c r="A9" t="s">
        <v>68</v>
      </c>
    </row>
    <row r="11" spans="1:23" s="1" customFormat="1" ht="86.4" x14ac:dyDescent="0.3">
      <c r="A11" s="3" t="s">
        <v>0</v>
      </c>
      <c r="B11" s="3" t="s">
        <v>3</v>
      </c>
      <c r="C11" s="3" t="s">
        <v>4</v>
      </c>
      <c r="D11" s="3" t="s">
        <v>10</v>
      </c>
      <c r="E11" s="3" t="s">
        <v>1</v>
      </c>
      <c r="F11" s="3" t="s">
        <v>2</v>
      </c>
      <c r="G11" s="13" t="s">
        <v>24</v>
      </c>
      <c r="H11" s="13" t="s">
        <v>25</v>
      </c>
      <c r="I11" s="13" t="s">
        <v>26</v>
      </c>
      <c r="J11" s="13" t="s">
        <v>27</v>
      </c>
      <c r="K11" s="13" t="s">
        <v>13</v>
      </c>
      <c r="L11" s="13" t="s">
        <v>11</v>
      </c>
      <c r="M11" s="13" t="s">
        <v>12</v>
      </c>
      <c r="N11" s="13" t="s">
        <v>34</v>
      </c>
      <c r="O11" s="13" t="s">
        <v>35</v>
      </c>
      <c r="P11" s="13" t="s">
        <v>36</v>
      </c>
      <c r="Q11" s="13" t="s">
        <v>31</v>
      </c>
      <c r="R11" s="13" t="s">
        <v>32</v>
      </c>
      <c r="S11" s="13" t="s">
        <v>33</v>
      </c>
    </row>
    <row r="12" spans="1:23" x14ac:dyDescent="0.3">
      <c r="A12" s="30" t="s">
        <v>19</v>
      </c>
      <c r="B12" s="31">
        <v>371.6422</v>
      </c>
      <c r="C12" s="31">
        <v>118.0401</v>
      </c>
      <c r="D12" s="31">
        <v>6.7041000000000004</v>
      </c>
      <c r="E12" s="7">
        <v>0</v>
      </c>
      <c r="F12" s="7">
        <v>0</v>
      </c>
      <c r="G12" s="35">
        <f>D12/$C$4*$C$5</f>
        <v>6.6916942864996901E-5</v>
      </c>
      <c r="H12" s="35">
        <f>G12*$K$3</f>
        <v>8.6992025724495976E-6</v>
      </c>
      <c r="I12" s="36">
        <f>D12*SIN((C12-G12+H12)*$C$3)/COS((G12/2)*$C$3)</f>
        <v>6.4367272001189137</v>
      </c>
      <c r="J12" s="36">
        <f t="shared" ref="J12:J15" si="0">I12*$C$4/($C$4+$H$4)</f>
        <v>6.4366748220559993</v>
      </c>
      <c r="K12" s="34">
        <f>J12*$H$5</f>
        <v>6.4347438196093831</v>
      </c>
      <c r="L12" s="32">
        <f>B12+$H$6</f>
        <v>545.75509999999997</v>
      </c>
      <c r="M12" s="33">
        <f>IF(L12&gt;400,L12-400,L12)</f>
        <v>145.75509999999997</v>
      </c>
      <c r="N12" s="34">
        <f>$H$2+K12*SIN(M12*$C$3)</f>
        <v>427257.2189067225</v>
      </c>
      <c r="O12" s="15">
        <f>$H$3+K12*COS(M12*$C$3)</f>
        <v>4583412.6366270185</v>
      </c>
      <c r="P12" s="15">
        <f>D12*COS(C12*$C$3)+(0.5-$K$3)*D12^2/$C$4+$H$4+E12-F12</f>
        <v>50.026163537077089</v>
      </c>
      <c r="Q12" s="29">
        <v>427257.23149999999</v>
      </c>
      <c r="R12" s="29">
        <v>4583412.6255999999</v>
      </c>
      <c r="S12" s="29">
        <v>50.0261</v>
      </c>
      <c r="T12" s="37">
        <f t="shared" ref="T12:V15" si="1">Q12-N12</f>
        <v>1.2593277497217059E-2</v>
      </c>
      <c r="U12" s="37">
        <f t="shared" si="1"/>
        <v>-1.1027018539607525E-2</v>
      </c>
      <c r="V12" s="37">
        <f t="shared" si="1"/>
        <v>-6.3537077089392824E-5</v>
      </c>
    </row>
    <row r="13" spans="1:23" x14ac:dyDescent="0.3">
      <c r="A13" s="30" t="s">
        <v>20</v>
      </c>
      <c r="B13" s="31">
        <v>370.53800000000001</v>
      </c>
      <c r="C13" s="31">
        <v>104.79300000000001</v>
      </c>
      <c r="D13" s="31">
        <v>24.6524</v>
      </c>
      <c r="E13" s="7">
        <v>0</v>
      </c>
      <c r="F13" s="7">
        <v>0</v>
      </c>
      <c r="G13" s="35">
        <f>D13/$C$4*$C$5</f>
        <v>2.4606781555839701E-4</v>
      </c>
      <c r="H13" s="35">
        <f t="shared" ref="H13:H15" si="2">G13*$K$3</f>
        <v>3.1988816022591614E-5</v>
      </c>
      <c r="I13" s="36">
        <f t="shared" ref="I13:I15" si="3">D13*SIN((C13-G13+H13)*$C$3)/COS((G13/2)*$C$3)</f>
        <v>24.582570345905093</v>
      </c>
      <c r="J13" s="36">
        <f t="shared" si="0"/>
        <v>24.582370308312051</v>
      </c>
      <c r="K13" s="34">
        <f>J13*$H$5</f>
        <v>24.574995597219559</v>
      </c>
      <c r="L13" s="32">
        <f>B13+$H$6</f>
        <v>544.65089999999998</v>
      </c>
      <c r="M13" s="33">
        <f t="shared" ref="M13:M15" si="4">IF(L13&gt;400,L13-400,L13)</f>
        <v>144.65089999999998</v>
      </c>
      <c r="N13" s="34">
        <f>$H$2+K13*SIN(M13*$C$3)</f>
        <v>427271.15001191298</v>
      </c>
      <c r="O13" s="15">
        <f>$H$3+K13*COS(M13*$C$3)</f>
        <v>4583401.0159293422</v>
      </c>
      <c r="P13" s="15">
        <f>D13*COS(C13*$C$3)+(0.5-$K$3)*D13^2/$C$4+$H$4+E13-F13</f>
        <v>50.046351698496622</v>
      </c>
      <c r="Q13" s="29">
        <v>427271.18979999999</v>
      </c>
      <c r="R13" s="29">
        <v>4583400.9823000003</v>
      </c>
      <c r="S13" s="29">
        <v>50.046300000000002</v>
      </c>
      <c r="T13" s="37">
        <f t="shared" si="1"/>
        <v>3.9788087015040219E-2</v>
      </c>
      <c r="U13" s="37">
        <f t="shared" si="1"/>
        <v>-3.362934198230505E-2</v>
      </c>
      <c r="V13" s="37">
        <f t="shared" si="1"/>
        <v>-5.1698496619678735E-5</v>
      </c>
    </row>
    <row r="14" spans="1:23" x14ac:dyDescent="0.3">
      <c r="A14" s="30" t="s">
        <v>21</v>
      </c>
      <c r="B14" s="31">
        <v>346.48270000000002</v>
      </c>
      <c r="C14" s="31">
        <v>105.1326</v>
      </c>
      <c r="D14" s="31">
        <v>21.933499999999999</v>
      </c>
      <c r="E14" s="7">
        <v>0</v>
      </c>
      <c r="F14" s="7">
        <v>0</v>
      </c>
      <c r="G14" s="35">
        <f>D14/$C$4*$C$5</f>
        <v>2.1892912789627384E-4</v>
      </c>
      <c r="H14" s="35">
        <f t="shared" si="2"/>
        <v>2.8460786626515599E-5</v>
      </c>
      <c r="I14" s="36">
        <f t="shared" si="3"/>
        <v>21.862259810814514</v>
      </c>
      <c r="J14" s="36">
        <f t="shared" si="0"/>
        <v>21.862081909408374</v>
      </c>
      <c r="K14" s="34">
        <f>J14*$H$5</f>
        <v>21.855523284835552</v>
      </c>
      <c r="L14" s="32">
        <f>B14+$H$6</f>
        <v>520.59559999999999</v>
      </c>
      <c r="M14" s="33">
        <f t="shared" si="4"/>
        <v>120.59559999999999</v>
      </c>
      <c r="N14" s="34">
        <f>$H$2+K14*SIN(M14*$C$3)</f>
        <v>427273.09754348587</v>
      </c>
      <c r="O14" s="15">
        <f>$H$3+K14*COS(M14*$C$3)</f>
        <v>4583409.9255049983</v>
      </c>
      <c r="P14" s="15">
        <f>D14*COS(C14*$C$3)+(0.5-$K$3)*D14^2/$C$4+$H$4+E14-F14</f>
        <v>50.134205169648673</v>
      </c>
      <c r="Q14" s="29">
        <v>427273.14069999999</v>
      </c>
      <c r="R14" s="29">
        <v>4583409.9110000003</v>
      </c>
      <c r="S14" s="29">
        <v>50.1342</v>
      </c>
      <c r="T14" s="37">
        <f t="shared" si="1"/>
        <v>4.3156514118891209E-2</v>
      </c>
      <c r="U14" s="37">
        <f t="shared" si="1"/>
        <v>-1.4504997991025448E-2</v>
      </c>
      <c r="V14" s="37">
        <f t="shared" si="1"/>
        <v>-5.16964867358638E-6</v>
      </c>
    </row>
    <row r="15" spans="1:23" x14ac:dyDescent="0.3">
      <c r="A15" s="30" t="s">
        <v>22</v>
      </c>
      <c r="B15" s="31">
        <v>20.337399999999999</v>
      </c>
      <c r="C15" s="31">
        <v>98.565299999999993</v>
      </c>
      <c r="D15" s="31">
        <v>14.4979</v>
      </c>
      <c r="E15" s="7">
        <v>0</v>
      </c>
      <c r="F15" s="7">
        <v>0</v>
      </c>
      <c r="G15" s="35">
        <f>D15/$C$4*$C$5</f>
        <v>1.4471072119485664E-4</v>
      </c>
      <c r="H15" s="35">
        <f t="shared" si="2"/>
        <v>1.8812393755331365E-5</v>
      </c>
      <c r="I15" s="36">
        <f t="shared" si="3"/>
        <v>14.494217905867405</v>
      </c>
      <c r="J15" s="36">
        <f t="shared" si="0"/>
        <v>14.494099960981165</v>
      </c>
      <c r="K15" s="34">
        <f>J15*$H$5</f>
        <v>14.489751730992872</v>
      </c>
      <c r="L15" s="32">
        <f>B15+$H$6</f>
        <v>194.4503</v>
      </c>
      <c r="M15" s="33">
        <f t="shared" si="4"/>
        <v>194.4503</v>
      </c>
      <c r="N15" s="34">
        <f>$H$2+K15*SIN(M15*$C$3)</f>
        <v>427253.63733738975</v>
      </c>
      <c r="O15" s="15">
        <f>$H$3+K15*COS(M15*$C$3)</f>
        <v>4583402.4386700531</v>
      </c>
      <c r="P15" s="15">
        <f>D15*COS(C15*$C$3)+(0.5-$K$3)*D15^2/$C$4+$H$4+E15-F15</f>
        <v>52.227312327709491</v>
      </c>
      <c r="Q15" s="29">
        <v>427253.63650000002</v>
      </c>
      <c r="R15" s="29">
        <v>4583402.4474999998</v>
      </c>
      <c r="S15" s="29">
        <v>52.2273</v>
      </c>
      <c r="T15" s="37">
        <f t="shared" si="1"/>
        <v>-8.3738972898572683E-4</v>
      </c>
      <c r="U15" s="37">
        <f t="shared" si="1"/>
        <v>8.8299466297030449E-3</v>
      </c>
      <c r="V15" s="37">
        <f t="shared" si="1"/>
        <v>-1.2327709491444239E-5</v>
      </c>
    </row>
    <row r="16" spans="1:23" x14ac:dyDescent="0.3">
      <c r="B16" s="2"/>
      <c r="N16" s="11"/>
    </row>
    <row r="17" spans="1:21" x14ac:dyDescent="0.3">
      <c r="A17" s="79"/>
      <c r="B17" s="79"/>
      <c r="C17" s="79"/>
      <c r="D17" s="79"/>
      <c r="E17" s="79"/>
      <c r="F17" s="79"/>
      <c r="G17" s="79"/>
      <c r="H17" s="79"/>
      <c r="I17" s="79"/>
      <c r="J17" s="79"/>
      <c r="K17" s="79"/>
      <c r="L17" s="79"/>
      <c r="M17" s="79"/>
      <c r="N17" s="79"/>
      <c r="O17" s="79"/>
      <c r="P17" s="79"/>
      <c r="Q17" s="79"/>
      <c r="R17" s="79"/>
      <c r="S17" s="79"/>
      <c r="T17" s="79"/>
      <c r="U17" s="79"/>
    </row>
    <row r="18" spans="1:21" x14ac:dyDescent="0.3">
      <c r="A18" t="s">
        <v>67</v>
      </c>
    </row>
    <row r="20" spans="1:21" ht="72" x14ac:dyDescent="0.3">
      <c r="A20" s="3" t="s">
        <v>0</v>
      </c>
      <c r="B20" s="41" t="s">
        <v>44</v>
      </c>
      <c r="C20" s="3" t="s">
        <v>45</v>
      </c>
      <c r="D20" s="43" t="s">
        <v>46</v>
      </c>
      <c r="E20" s="43" t="s">
        <v>47</v>
      </c>
      <c r="F20" s="45" t="s">
        <v>48</v>
      </c>
      <c r="G20" s="45" t="s">
        <v>49</v>
      </c>
      <c r="H20" s="13" t="s">
        <v>50</v>
      </c>
      <c r="I20" s="13" t="s">
        <v>51</v>
      </c>
      <c r="J20" s="13" t="s">
        <v>52</v>
      </c>
      <c r="K20" s="13" t="s">
        <v>53</v>
      </c>
      <c r="L20" s="13" t="s">
        <v>13</v>
      </c>
      <c r="M20" s="46" t="s">
        <v>54</v>
      </c>
      <c r="N20" s="46" t="s">
        <v>55</v>
      </c>
      <c r="O20" s="13" t="s">
        <v>56</v>
      </c>
      <c r="P20" s="13" t="s">
        <v>57</v>
      </c>
      <c r="Q20" s="13" t="s">
        <v>27</v>
      </c>
      <c r="R20" s="35" t="s">
        <v>58</v>
      </c>
    </row>
    <row r="21" spans="1:21" x14ac:dyDescent="0.3">
      <c r="A21" s="6" t="str">
        <f>A12</f>
        <v>C3</v>
      </c>
      <c r="B21" s="47">
        <f t="shared" ref="B21:C24" si="5">N12</f>
        <v>427257.2189067225</v>
      </c>
      <c r="C21" s="47">
        <f t="shared" si="5"/>
        <v>4583412.6366270185</v>
      </c>
      <c r="D21" s="48">
        <v>0</v>
      </c>
      <c r="E21" s="48">
        <v>3.09</v>
      </c>
      <c r="F21" s="14">
        <f>B21-$H$2</f>
        <v>4.8431067225174047</v>
      </c>
      <c r="G21" s="14">
        <f>C21-$H$3</f>
        <v>-4.2367729814723134</v>
      </c>
      <c r="H21" s="35">
        <f>ATAN2(G21,F21)*$C$5</f>
        <v>145.75509999851906</v>
      </c>
      <c r="I21" s="36">
        <f>IF(H21&lt;0,H21+400,H21)</f>
        <v>145.75509999851906</v>
      </c>
      <c r="J21" s="49">
        <f t="shared" ref="J21:J24" si="6">SQRT((F21)^2+(G21)^2)</f>
        <v>6.4347438194715316</v>
      </c>
      <c r="K21" s="50">
        <f>M12</f>
        <v>145.75509999999997</v>
      </c>
      <c r="L21" s="55">
        <f>K12</f>
        <v>6.4347438196093831</v>
      </c>
      <c r="M21" s="51">
        <f>SQRT($K$5^2+((D21/L21)*$C$7)^2+E21^2)</f>
        <v>3.4539248288085989</v>
      </c>
      <c r="N21" s="52">
        <f>SQRT(D21^2+($K$6/1000+($M$6/1000000)*L21)^2)</f>
        <v>8.0643474381960939E-4</v>
      </c>
      <c r="O21" s="15">
        <f>(I21-K21)*10000</f>
        <v>-1.4809131698712008E-5</v>
      </c>
      <c r="P21" s="56">
        <f>J21-L21</f>
        <v>-1.3785150798639734E-10</v>
      </c>
      <c r="Q21" s="53">
        <f>J12</f>
        <v>6.4366748220559993</v>
      </c>
      <c r="R21" s="54">
        <f>SQRT((Q21*M21/$C$4)^2+(((0.5-$K$3)*Q21^2)/$C$4)^2)</f>
        <v>4.234006644136853E-6</v>
      </c>
    </row>
    <row r="22" spans="1:21" x14ac:dyDescent="0.3">
      <c r="A22" s="6" t="str">
        <f>A13</f>
        <v>C6</v>
      </c>
      <c r="B22" s="47">
        <f t="shared" si="5"/>
        <v>427271.15001191298</v>
      </c>
      <c r="C22" s="47">
        <f t="shared" si="5"/>
        <v>4583401.0159293422</v>
      </c>
      <c r="D22" s="48">
        <v>0</v>
      </c>
      <c r="E22" s="48">
        <v>3.09</v>
      </c>
      <c r="F22" s="14">
        <f t="shared" ref="F22:F24" si="7">B22-$H$2</f>
        <v>18.774211912997998</v>
      </c>
      <c r="G22" s="14">
        <f t="shared" ref="G22:G24" si="8">C22-$H$3</f>
        <v>-15.857470657676458</v>
      </c>
      <c r="H22" s="35">
        <f t="shared" ref="H22:H24" si="9">ATAN2(G22,F22)*$C$5</f>
        <v>144.65090000063603</v>
      </c>
      <c r="I22" s="36">
        <f t="shared" ref="I22:I24" si="10">IF(H22&lt;0,H22+400,H22)</f>
        <v>144.65090000063603</v>
      </c>
      <c r="J22" s="49">
        <f t="shared" si="6"/>
        <v>24.574995597420273</v>
      </c>
      <c r="K22" s="50">
        <f>M13</f>
        <v>144.65089999999998</v>
      </c>
      <c r="L22" s="55">
        <f>K13</f>
        <v>24.574995597219559</v>
      </c>
      <c r="M22" s="51">
        <f t="shared" ref="M22:M24" si="11">SQRT($K$5^2+((D22/L22)*$C$7)^2+E22^2)</f>
        <v>3.4539248288085989</v>
      </c>
      <c r="N22" s="52">
        <f t="shared" ref="N22:N24" si="12">SQRT(D22^2+($K$6/1000+($M$6/1000000)*L22)^2)</f>
        <v>8.2457499559721959E-4</v>
      </c>
      <c r="O22" s="15">
        <f t="shared" ref="O22:O24" si="13">(I22-K22)*10000</f>
        <v>6.3604943534301128E-6</v>
      </c>
      <c r="P22" s="56">
        <f t="shared" ref="P22:P24" si="14">J22-L22</f>
        <v>2.007141119975131E-10</v>
      </c>
      <c r="Q22" s="53">
        <f>J13</f>
        <v>24.582370308312051</v>
      </c>
      <c r="R22" s="54">
        <f t="shared" ref="R22:R24" si="15">SQRT((Q22*M22/$C$4)^2+(((0.5-$K$3)*Q22^2)/$C$4)^2)</f>
        <v>3.7498707196431331E-5</v>
      </c>
    </row>
    <row r="23" spans="1:21" x14ac:dyDescent="0.3">
      <c r="A23" s="6" t="str">
        <f>A14</f>
        <v>C8</v>
      </c>
      <c r="B23" s="47">
        <f t="shared" si="5"/>
        <v>427273.09754348587</v>
      </c>
      <c r="C23" s="47">
        <f t="shared" si="5"/>
        <v>4583409.9255049983</v>
      </c>
      <c r="D23" s="48">
        <v>0</v>
      </c>
      <c r="E23" s="48">
        <v>3.09</v>
      </c>
      <c r="F23" s="14">
        <f t="shared" si="7"/>
        <v>20.721743485890329</v>
      </c>
      <c r="G23" s="14">
        <f t="shared" si="8"/>
        <v>-6.9478950016200542</v>
      </c>
      <c r="H23" s="35">
        <f t="shared" si="9"/>
        <v>120.59559999887831</v>
      </c>
      <c r="I23" s="36">
        <f t="shared" si="10"/>
        <v>120.59559999887831</v>
      </c>
      <c r="J23" s="49">
        <f t="shared" si="6"/>
        <v>21.855523284711698</v>
      </c>
      <c r="K23" s="50">
        <f>M14</f>
        <v>120.59559999999999</v>
      </c>
      <c r="L23" s="55">
        <f>K14</f>
        <v>21.855523284835552</v>
      </c>
      <c r="M23" s="51">
        <f t="shared" si="11"/>
        <v>3.4539248288085989</v>
      </c>
      <c r="N23" s="52">
        <f t="shared" si="12"/>
        <v>8.2185552328483563E-4</v>
      </c>
      <c r="O23" s="15">
        <f t="shared" si="13"/>
        <v>-1.1216769735256094E-5</v>
      </c>
      <c r="P23" s="56">
        <f t="shared" si="14"/>
        <v>-1.2385470427034306E-10</v>
      </c>
      <c r="Q23" s="53">
        <f>J14</f>
        <v>21.862081909408374</v>
      </c>
      <c r="R23" s="54">
        <f t="shared" si="15"/>
        <v>3.0148669055508146E-5</v>
      </c>
    </row>
    <row r="24" spans="1:21" x14ac:dyDescent="0.3">
      <c r="A24" s="6" t="str">
        <f>A15</f>
        <v>P1</v>
      </c>
      <c r="B24" s="47">
        <f t="shared" si="5"/>
        <v>427253.63733738975</v>
      </c>
      <c r="C24" s="47">
        <f t="shared" si="5"/>
        <v>4583402.4386700531</v>
      </c>
      <c r="D24" s="48">
        <v>0</v>
      </c>
      <c r="E24" s="48">
        <v>3.09</v>
      </c>
      <c r="F24" s="14">
        <f t="shared" si="7"/>
        <v>1.2615373897715472</v>
      </c>
      <c r="G24" s="14">
        <f t="shared" si="8"/>
        <v>-14.434729946777225</v>
      </c>
      <c r="H24" s="35">
        <f t="shared" si="9"/>
        <v>194.45030000007165</v>
      </c>
      <c r="I24" s="36">
        <f t="shared" si="10"/>
        <v>194.45030000007165</v>
      </c>
      <c r="J24" s="49">
        <f t="shared" si="6"/>
        <v>14.489751730867539</v>
      </c>
      <c r="K24" s="50">
        <f>M15</f>
        <v>194.4503</v>
      </c>
      <c r="L24" s="55">
        <f>K15</f>
        <v>14.489751730992872</v>
      </c>
      <c r="M24" s="51">
        <f t="shared" si="11"/>
        <v>3.4539248288085989</v>
      </c>
      <c r="N24" s="52">
        <f t="shared" si="12"/>
        <v>8.1448975173099294E-4</v>
      </c>
      <c r="O24" s="15">
        <f t="shared" si="13"/>
        <v>7.1651129474048503E-7</v>
      </c>
      <c r="P24" s="56">
        <f t="shared" si="14"/>
        <v>-1.2533263316072407E-10</v>
      </c>
      <c r="Q24" s="53">
        <f>J15</f>
        <v>14.494099960981165</v>
      </c>
      <c r="R24" s="54">
        <f t="shared" si="15"/>
        <v>1.4495973781662001E-5</v>
      </c>
    </row>
    <row r="26" spans="1:21" x14ac:dyDescent="0.3">
      <c r="A26" s="79"/>
      <c r="B26" s="79"/>
      <c r="C26" s="79"/>
      <c r="D26" s="79"/>
      <c r="E26" s="79"/>
      <c r="F26" s="79"/>
      <c r="G26" s="79"/>
      <c r="H26" s="79"/>
      <c r="I26" s="79"/>
      <c r="J26" s="79"/>
      <c r="K26" s="79"/>
      <c r="L26" s="79"/>
      <c r="M26" s="79"/>
      <c r="N26" s="79"/>
      <c r="O26" s="79"/>
      <c r="P26" s="79"/>
      <c r="Q26" s="79"/>
      <c r="R26" s="79"/>
    </row>
    <row r="27" spans="1:21" x14ac:dyDescent="0.3">
      <c r="A27" t="s">
        <v>71</v>
      </c>
    </row>
    <row r="28" spans="1:21" x14ac:dyDescent="0.3">
      <c r="C28" s="58" t="s">
        <v>66</v>
      </c>
    </row>
    <row r="29" spans="1:21" ht="15" thickBot="1" x14ac:dyDescent="0.35">
      <c r="A29" s="57" t="s">
        <v>0</v>
      </c>
      <c r="B29" s="58" t="s">
        <v>59</v>
      </c>
      <c r="C29" s="59" t="str">
        <f>"dx_"&amp;A21</f>
        <v>dx_C3</v>
      </c>
      <c r="D29" s="59" t="str">
        <f>"dy_"&amp;A21</f>
        <v>dy_C3</v>
      </c>
      <c r="E29" s="110" t="str">
        <f>"dx_"&amp;A22</f>
        <v>dx_C6</v>
      </c>
      <c r="F29" s="110" t="str">
        <f>"dy_"&amp;A22</f>
        <v>dy_C6</v>
      </c>
      <c r="G29" s="61" t="str">
        <f>"dx_"&amp;A23</f>
        <v>dx_C8</v>
      </c>
      <c r="H29" s="61" t="str">
        <f>"dy_"&amp;A23</f>
        <v>dy_C8</v>
      </c>
      <c r="I29" s="62" t="str">
        <f>"dx_"&amp;A24</f>
        <v>dx_P1</v>
      </c>
      <c r="J29" s="62" t="str">
        <f>"dy_"&amp;A24</f>
        <v>dy_P1</v>
      </c>
    </row>
    <row r="30" spans="1:21" x14ac:dyDescent="0.3">
      <c r="A30" s="59" t="str">
        <f>A21</f>
        <v>C3</v>
      </c>
      <c r="B30" t="s">
        <v>62</v>
      </c>
      <c r="C30" s="63">
        <f>G21*$C$7/$J$21^2</f>
        <v>-65140.755922440265</v>
      </c>
      <c r="D30" s="64">
        <f>-F21*$C$7/J21^2</f>
        <v>-74463.190333177292</v>
      </c>
      <c r="E30" s="65">
        <v>0</v>
      </c>
      <c r="F30" s="65">
        <v>0</v>
      </c>
      <c r="G30" s="65">
        <v>0</v>
      </c>
      <c r="H30" s="65">
        <v>0</v>
      </c>
      <c r="I30" s="65">
        <v>0</v>
      </c>
      <c r="J30" s="66">
        <v>0</v>
      </c>
    </row>
    <row r="31" spans="1:21" x14ac:dyDescent="0.3">
      <c r="A31" s="110" t="str">
        <f>A22</f>
        <v>C6</v>
      </c>
      <c r="B31" t="s">
        <v>62</v>
      </c>
      <c r="C31" s="67">
        <v>0</v>
      </c>
      <c r="D31">
        <v>0</v>
      </c>
      <c r="E31" s="111">
        <f>G22*$C$7/$J$22^2</f>
        <v>-16715.79906631399</v>
      </c>
      <c r="F31" s="111">
        <f>-F22*$C$7/J22^2</f>
        <v>-19790.416816199664</v>
      </c>
      <c r="G31">
        <v>0</v>
      </c>
      <c r="H31">
        <v>0</v>
      </c>
      <c r="I31">
        <v>0</v>
      </c>
      <c r="J31" s="68">
        <v>0</v>
      </c>
    </row>
    <row r="32" spans="1:21" x14ac:dyDescent="0.3">
      <c r="A32" s="61" t="str">
        <f>A23</f>
        <v>C8</v>
      </c>
      <c r="B32" t="s">
        <v>62</v>
      </c>
      <c r="C32" s="67">
        <v>0</v>
      </c>
      <c r="D32">
        <v>0</v>
      </c>
      <c r="E32">
        <v>0</v>
      </c>
      <c r="F32">
        <v>0</v>
      </c>
      <c r="G32" s="69">
        <f>G23*$C$7/$J$23^2</f>
        <v>-9259.9992430564835</v>
      </c>
      <c r="H32" s="69">
        <f>-F23*$C$7/J23^2</f>
        <v>-27617.476796844694</v>
      </c>
      <c r="I32">
        <v>0</v>
      </c>
      <c r="J32" s="68">
        <v>0</v>
      </c>
    </row>
    <row r="33" spans="1:18" ht="15" thickBot="1" x14ac:dyDescent="0.35">
      <c r="A33" s="70" t="str">
        <f>A24</f>
        <v>P1</v>
      </c>
      <c r="B33" s="71" t="s">
        <v>62</v>
      </c>
      <c r="C33" s="72">
        <v>0</v>
      </c>
      <c r="D33" s="71">
        <v>0</v>
      </c>
      <c r="E33" s="71">
        <v>0</v>
      </c>
      <c r="F33" s="71">
        <v>0</v>
      </c>
      <c r="G33" s="71">
        <v>0</v>
      </c>
      <c r="H33" s="71">
        <v>0</v>
      </c>
      <c r="I33" s="73">
        <f>G24*$C$7/$J$24^2</f>
        <v>-43769.027550155952</v>
      </c>
      <c r="J33" s="74">
        <f>-F24*$C$7/J24^2</f>
        <v>-3825.2371171509553</v>
      </c>
    </row>
    <row r="34" spans="1:18" x14ac:dyDescent="0.3">
      <c r="A34" s="59" t="str">
        <f>A21</f>
        <v>C3</v>
      </c>
      <c r="B34" t="s">
        <v>63</v>
      </c>
      <c r="C34" s="63">
        <f>$B21/$L21</f>
        <v>66398.481568868243</v>
      </c>
      <c r="D34" s="64">
        <f>$C21/$L21</f>
        <v>712291.3926517826</v>
      </c>
      <c r="E34" s="65">
        <v>0</v>
      </c>
      <c r="F34" s="65">
        <v>0</v>
      </c>
      <c r="G34" s="65">
        <v>0</v>
      </c>
      <c r="H34" s="65">
        <v>0</v>
      </c>
      <c r="I34" s="65">
        <v>0</v>
      </c>
      <c r="J34" s="66">
        <v>0</v>
      </c>
      <c r="L34" t="s">
        <v>64</v>
      </c>
    </row>
    <row r="35" spans="1:18" x14ac:dyDescent="0.3">
      <c r="A35" s="110" t="str">
        <f t="shared" ref="A35:A37" si="16">A22</f>
        <v>C6</v>
      </c>
      <c r="B35" t="s">
        <v>63</v>
      </c>
      <c r="C35" s="67">
        <v>0</v>
      </c>
      <c r="D35">
        <v>0</v>
      </c>
      <c r="E35" s="111">
        <f>$B22/$L22</f>
        <v>17386.418171332447</v>
      </c>
      <c r="F35" s="111">
        <f>$C22/$L22</f>
        <v>186506.68716489672</v>
      </c>
      <c r="G35">
        <v>0</v>
      </c>
      <c r="H35">
        <v>0</v>
      </c>
      <c r="I35">
        <v>0</v>
      </c>
      <c r="J35" s="68">
        <v>0</v>
      </c>
    </row>
    <row r="36" spans="1:18" x14ac:dyDescent="0.3">
      <c r="A36" s="61" t="str">
        <f t="shared" si="16"/>
        <v>C8</v>
      </c>
      <c r="B36" t="s">
        <v>63</v>
      </c>
      <c r="C36" s="67">
        <v>0</v>
      </c>
      <c r="D36">
        <v>0</v>
      </c>
      <c r="E36">
        <v>0</v>
      </c>
      <c r="F36">
        <v>0</v>
      </c>
      <c r="G36" s="69">
        <f>$B23/$L23</f>
        <v>19549.890980645116</v>
      </c>
      <c r="H36" s="69">
        <f>$C23/$L23</f>
        <v>209714.03273081069</v>
      </c>
      <c r="I36">
        <v>0</v>
      </c>
      <c r="J36" s="68">
        <v>0</v>
      </c>
    </row>
    <row r="37" spans="1:18" ht="15" thickBot="1" x14ac:dyDescent="0.35">
      <c r="A37" s="70" t="str">
        <f t="shared" si="16"/>
        <v>P1</v>
      </c>
      <c r="B37" t="s">
        <v>63</v>
      </c>
      <c r="C37" s="75">
        <v>0</v>
      </c>
      <c r="D37" s="76">
        <v>0</v>
      </c>
      <c r="E37" s="76">
        <v>0</v>
      </c>
      <c r="F37" s="76">
        <v>0</v>
      </c>
      <c r="G37" s="76">
        <v>0</v>
      </c>
      <c r="H37" s="76">
        <v>0</v>
      </c>
      <c r="I37" s="77">
        <f>$B24/$L24</f>
        <v>29486.608554066188</v>
      </c>
      <c r="J37" s="78">
        <f>$C24/$L24</f>
        <v>316320.28786707082</v>
      </c>
    </row>
    <row r="41" spans="1:18" x14ac:dyDescent="0.3">
      <c r="F41" t="s">
        <v>65</v>
      </c>
    </row>
    <row r="44" spans="1:18" x14ac:dyDescent="0.3">
      <c r="A44" s="79"/>
      <c r="B44" s="79"/>
      <c r="C44" s="79"/>
      <c r="D44" s="79"/>
      <c r="E44" s="79"/>
      <c r="F44" s="79"/>
      <c r="G44" s="79"/>
      <c r="H44" s="79"/>
      <c r="I44" s="79"/>
      <c r="J44" s="79"/>
      <c r="K44" s="79"/>
      <c r="L44" s="79"/>
      <c r="M44" s="79"/>
      <c r="N44" s="79"/>
      <c r="O44" s="79"/>
      <c r="P44" s="79"/>
      <c r="Q44" s="79"/>
      <c r="R44" s="79"/>
    </row>
    <row r="45" spans="1:18" x14ac:dyDescent="0.3">
      <c r="A45" t="s">
        <v>72</v>
      </c>
    </row>
    <row r="47" spans="1:18" ht="15" thickBot="1" x14ac:dyDescent="0.35">
      <c r="A47" s="57" t="s">
        <v>0</v>
      </c>
      <c r="B47" s="58" t="s">
        <v>59</v>
      </c>
      <c r="C47" s="58" t="s">
        <v>69</v>
      </c>
    </row>
    <row r="48" spans="1:18" x14ac:dyDescent="0.3">
      <c r="A48" s="59" t="str">
        <f t="shared" ref="A48:A55" si="17">A30</f>
        <v>C3</v>
      </c>
      <c r="B48" t="s">
        <v>62</v>
      </c>
      <c r="C48" s="82">
        <f>-O21</f>
        <v>1.4809131698712008E-5</v>
      </c>
    </row>
    <row r="49" spans="1:18" x14ac:dyDescent="0.3">
      <c r="A49" s="110" t="str">
        <f t="shared" si="17"/>
        <v>C6</v>
      </c>
      <c r="B49" t="s">
        <v>62</v>
      </c>
      <c r="C49" s="112">
        <f t="shared" ref="C49:C51" si="18">-O22</f>
        <v>-6.3604943534301128E-6</v>
      </c>
    </row>
    <row r="50" spans="1:18" x14ac:dyDescent="0.3">
      <c r="A50" s="61" t="str">
        <f t="shared" si="17"/>
        <v>C8</v>
      </c>
      <c r="B50" t="s">
        <v>62</v>
      </c>
      <c r="C50" s="83">
        <f t="shared" si="18"/>
        <v>1.1216769735256094E-5</v>
      </c>
    </row>
    <row r="51" spans="1:18" x14ac:dyDescent="0.3">
      <c r="A51" s="70" t="str">
        <f t="shared" si="17"/>
        <v>P1</v>
      </c>
      <c r="B51" s="71" t="s">
        <v>62</v>
      </c>
      <c r="C51" s="84">
        <f t="shared" si="18"/>
        <v>-7.1651129474048503E-7</v>
      </c>
    </row>
    <row r="52" spans="1:18" x14ac:dyDescent="0.3">
      <c r="A52" s="59" t="str">
        <f t="shared" si="17"/>
        <v>C3</v>
      </c>
      <c r="B52" t="s">
        <v>63</v>
      </c>
      <c r="C52" s="85">
        <f>-P21</f>
        <v>1.3785150798639734E-10</v>
      </c>
    </row>
    <row r="53" spans="1:18" x14ac:dyDescent="0.3">
      <c r="A53" s="110" t="str">
        <f t="shared" si="17"/>
        <v>C6</v>
      </c>
      <c r="B53" t="s">
        <v>63</v>
      </c>
      <c r="C53" s="112">
        <f t="shared" ref="C53:C55" si="19">-P22</f>
        <v>-2.007141119975131E-10</v>
      </c>
    </row>
    <row r="54" spans="1:18" x14ac:dyDescent="0.3">
      <c r="A54" s="61" t="str">
        <f t="shared" si="17"/>
        <v>C8</v>
      </c>
      <c r="B54" t="s">
        <v>63</v>
      </c>
      <c r="C54" s="83">
        <f t="shared" si="19"/>
        <v>1.2385470427034306E-10</v>
      </c>
    </row>
    <row r="55" spans="1:18" ht="15" thickBot="1" x14ac:dyDescent="0.35">
      <c r="A55" s="62" t="str">
        <f t="shared" si="17"/>
        <v>P1</v>
      </c>
      <c r="B55" t="s">
        <v>63</v>
      </c>
      <c r="C55" s="86">
        <f t="shared" si="19"/>
        <v>1.2533263316072407E-10</v>
      </c>
    </row>
    <row r="57" spans="1:18" x14ac:dyDescent="0.3">
      <c r="A57" s="79"/>
      <c r="B57" s="79"/>
      <c r="C57" s="79"/>
      <c r="D57" s="79"/>
      <c r="E57" s="79"/>
      <c r="F57" s="79"/>
      <c r="G57" s="79"/>
      <c r="H57" s="79"/>
      <c r="I57" s="79"/>
      <c r="J57" s="79"/>
      <c r="K57" s="79"/>
      <c r="L57" s="79"/>
      <c r="M57" s="79"/>
      <c r="N57" s="79"/>
      <c r="O57" s="79"/>
      <c r="P57" s="79"/>
      <c r="Q57" s="79"/>
      <c r="R57" s="79"/>
    </row>
    <row r="58" spans="1:18" x14ac:dyDescent="0.3">
      <c r="A58" t="s">
        <v>73</v>
      </c>
    </row>
    <row r="60" spans="1:18" x14ac:dyDescent="0.3">
      <c r="R60" s="1"/>
    </row>
    <row r="61" spans="1:18" x14ac:dyDescent="0.3">
      <c r="C61" s="58" t="s">
        <v>78</v>
      </c>
    </row>
    <row r="62" spans="1:18" ht="15" thickBot="1" x14ac:dyDescent="0.35">
      <c r="A62" s="57" t="s">
        <v>0</v>
      </c>
      <c r="B62" s="58" t="s">
        <v>59</v>
      </c>
      <c r="C62" s="59" t="str">
        <f>A63</f>
        <v>C3</v>
      </c>
      <c r="D62" s="110" t="str">
        <f>A64</f>
        <v>C6</v>
      </c>
      <c r="E62" s="61" t="str">
        <f>A65</f>
        <v>C8</v>
      </c>
      <c r="F62" s="62" t="str">
        <f>A66</f>
        <v>P1</v>
      </c>
      <c r="G62" s="59" t="str">
        <f>A67</f>
        <v>C3</v>
      </c>
      <c r="H62" s="110" t="str">
        <f>A68</f>
        <v>C6</v>
      </c>
      <c r="I62" s="61" t="str">
        <f>A69</f>
        <v>C8</v>
      </c>
      <c r="J62" s="62" t="str">
        <f>A70</f>
        <v>P1</v>
      </c>
    </row>
    <row r="63" spans="1:18" x14ac:dyDescent="0.3">
      <c r="A63" s="59" t="str">
        <f t="shared" ref="A63:B70" si="20">A48</f>
        <v>C3</v>
      </c>
      <c r="B63" t="str">
        <f t="shared" si="20"/>
        <v>Dirección</v>
      </c>
      <c r="C63" s="88">
        <f>1/$M21^2</f>
        <v>8.3825130322045985E-2</v>
      </c>
      <c r="D63" s="65">
        <v>0</v>
      </c>
      <c r="E63" s="65">
        <v>0</v>
      </c>
      <c r="F63" s="65">
        <v>0</v>
      </c>
      <c r="G63" s="89">
        <v>0</v>
      </c>
      <c r="H63" s="65">
        <v>0</v>
      </c>
      <c r="I63" s="65">
        <v>0</v>
      </c>
      <c r="J63" s="66">
        <v>0</v>
      </c>
    </row>
    <row r="64" spans="1:18" x14ac:dyDescent="0.3">
      <c r="A64" s="110" t="str">
        <f t="shared" si="20"/>
        <v>C6</v>
      </c>
      <c r="B64" t="str">
        <f t="shared" si="20"/>
        <v>Dirección</v>
      </c>
      <c r="C64" s="67">
        <v>0</v>
      </c>
      <c r="D64" s="110">
        <f>1/$M22^2</f>
        <v>8.3825130322045985E-2</v>
      </c>
      <c r="E64">
        <v>0</v>
      </c>
      <c r="F64">
        <v>0</v>
      </c>
      <c r="G64" s="80">
        <v>0</v>
      </c>
      <c r="H64">
        <v>0</v>
      </c>
      <c r="I64">
        <v>0</v>
      </c>
      <c r="J64" s="68">
        <v>0</v>
      </c>
    </row>
    <row r="65" spans="1:18" x14ac:dyDescent="0.3">
      <c r="A65" s="61" t="str">
        <f t="shared" si="20"/>
        <v>C8</v>
      </c>
      <c r="B65" t="str">
        <f t="shared" si="20"/>
        <v>Dirección</v>
      </c>
      <c r="C65" s="67">
        <v>0</v>
      </c>
      <c r="D65">
        <v>0</v>
      </c>
      <c r="E65" s="61">
        <f>1/$M23^2</f>
        <v>8.3825130322045985E-2</v>
      </c>
      <c r="F65">
        <v>0</v>
      </c>
      <c r="G65" s="80">
        <v>0</v>
      </c>
      <c r="H65">
        <v>0</v>
      </c>
      <c r="I65">
        <v>0</v>
      </c>
      <c r="J65" s="68">
        <v>0</v>
      </c>
    </row>
    <row r="66" spans="1:18" x14ac:dyDescent="0.3">
      <c r="A66" s="70" t="str">
        <f t="shared" si="20"/>
        <v>P1</v>
      </c>
      <c r="B66" s="71" t="str">
        <f t="shared" si="20"/>
        <v>Dirección</v>
      </c>
      <c r="C66" s="72">
        <v>0</v>
      </c>
      <c r="D66" s="71">
        <v>0</v>
      </c>
      <c r="E66" s="71">
        <v>0</v>
      </c>
      <c r="F66" s="70">
        <f>1/$M24^2</f>
        <v>8.3825130322045985E-2</v>
      </c>
      <c r="G66" s="81">
        <v>0</v>
      </c>
      <c r="H66" s="71">
        <v>0</v>
      </c>
      <c r="I66" s="71">
        <v>0</v>
      </c>
      <c r="J66" s="90">
        <v>0</v>
      </c>
    </row>
    <row r="67" spans="1:18" x14ac:dyDescent="0.3">
      <c r="A67" s="59" t="str">
        <f t="shared" si="20"/>
        <v>C3</v>
      </c>
      <c r="B67" t="str">
        <f t="shared" si="20"/>
        <v>Distancia</v>
      </c>
      <c r="C67" s="67">
        <v>0</v>
      </c>
      <c r="D67">
        <v>0</v>
      </c>
      <c r="E67">
        <v>0</v>
      </c>
      <c r="F67">
        <v>0</v>
      </c>
      <c r="G67" s="87">
        <f>1/$N21^2</f>
        <v>1537664.3280177428</v>
      </c>
      <c r="H67">
        <v>0</v>
      </c>
      <c r="I67">
        <v>0</v>
      </c>
      <c r="J67" s="68">
        <v>0</v>
      </c>
      <c r="L67" t="s">
        <v>70</v>
      </c>
    </row>
    <row r="68" spans="1:18" x14ac:dyDescent="0.3">
      <c r="A68" s="110" t="str">
        <f t="shared" si="20"/>
        <v>C6</v>
      </c>
      <c r="B68" t="str">
        <f t="shared" si="20"/>
        <v>Distancia</v>
      </c>
      <c r="C68" s="67">
        <v>0</v>
      </c>
      <c r="D68">
        <v>0</v>
      </c>
      <c r="E68">
        <v>0</v>
      </c>
      <c r="F68">
        <v>0</v>
      </c>
      <c r="G68" s="80">
        <v>0</v>
      </c>
      <c r="H68" s="110">
        <f>1/$N22^2</f>
        <v>1470752.7792994252</v>
      </c>
      <c r="I68">
        <v>0</v>
      </c>
      <c r="J68" s="68">
        <v>0</v>
      </c>
    </row>
    <row r="69" spans="1:18" x14ac:dyDescent="0.3">
      <c r="A69" s="61" t="str">
        <f t="shared" si="20"/>
        <v>C8</v>
      </c>
      <c r="B69" t="str">
        <f t="shared" si="20"/>
        <v>Distancia</v>
      </c>
      <c r="C69" s="67">
        <v>0</v>
      </c>
      <c r="D69">
        <v>0</v>
      </c>
      <c r="E69">
        <v>0</v>
      </c>
      <c r="F69">
        <v>0</v>
      </c>
      <c r="G69" s="80">
        <v>0</v>
      </c>
      <c r="H69">
        <v>0</v>
      </c>
      <c r="I69" s="61">
        <f>1/$N23^2</f>
        <v>1480502.1541925378</v>
      </c>
      <c r="J69" s="68">
        <v>0</v>
      </c>
    </row>
    <row r="70" spans="1:18" ht="15" thickBot="1" x14ac:dyDescent="0.35">
      <c r="A70" s="62" t="str">
        <f t="shared" si="20"/>
        <v>P1</v>
      </c>
      <c r="B70" t="str">
        <f t="shared" si="20"/>
        <v>Distancia</v>
      </c>
      <c r="C70" s="75">
        <v>0</v>
      </c>
      <c r="D70" s="76">
        <v>0</v>
      </c>
      <c r="E70" s="76">
        <v>0</v>
      </c>
      <c r="F70" s="76">
        <v>0</v>
      </c>
      <c r="G70" s="91">
        <v>0</v>
      </c>
      <c r="H70" s="76">
        <v>0</v>
      </c>
      <c r="I70" s="76">
        <v>0</v>
      </c>
      <c r="J70" s="92">
        <f>1/$N24^2</f>
        <v>1507400.8353650407</v>
      </c>
    </row>
    <row r="74" spans="1:18" x14ac:dyDescent="0.3">
      <c r="F74" t="s">
        <v>70</v>
      </c>
    </row>
    <row r="76" spans="1:18" x14ac:dyDescent="0.3">
      <c r="A76" s="79"/>
      <c r="B76" s="79"/>
      <c r="C76" s="79"/>
      <c r="D76" s="79"/>
      <c r="E76" s="79"/>
      <c r="F76" s="79"/>
      <c r="G76" s="79"/>
      <c r="H76" s="79"/>
      <c r="I76" s="79"/>
      <c r="J76" s="79"/>
      <c r="K76" s="79"/>
      <c r="L76" s="79"/>
      <c r="M76" s="79"/>
      <c r="N76" s="79"/>
      <c r="O76" s="79"/>
      <c r="P76" s="79"/>
      <c r="Q76" s="79"/>
      <c r="R76" s="79"/>
    </row>
    <row r="77" spans="1:18" ht="16.2" x14ac:dyDescent="0.3">
      <c r="A77" t="s">
        <v>75</v>
      </c>
      <c r="B77" s="95" t="s">
        <v>74</v>
      </c>
    </row>
    <row r="78" spans="1:18" ht="15" thickBot="1" x14ac:dyDescent="0.35"/>
    <row r="79" spans="1:18" x14ac:dyDescent="0.3">
      <c r="B79" s="93" cm="1">
        <f t="array" ref="B79:I86">TRANSPOSE(C30:J37)</f>
        <v>-65140.755922440265</v>
      </c>
      <c r="C79" s="65">
        <v>0</v>
      </c>
      <c r="D79" s="65">
        <v>0</v>
      </c>
      <c r="E79" s="65">
        <v>0</v>
      </c>
      <c r="F79" s="65">
        <v>66398.481568868243</v>
      </c>
      <c r="G79" s="65">
        <v>0</v>
      </c>
      <c r="H79" s="65">
        <v>0</v>
      </c>
      <c r="I79" s="66">
        <v>0</v>
      </c>
    </row>
    <row r="80" spans="1:18" x14ac:dyDescent="0.3">
      <c r="B80" s="67">
        <v>-74463.190333177292</v>
      </c>
      <c r="C80">
        <v>0</v>
      </c>
      <c r="D80">
        <v>0</v>
      </c>
      <c r="E80">
        <v>0</v>
      </c>
      <c r="F80">
        <v>712291.3926517826</v>
      </c>
      <c r="G80">
        <v>0</v>
      </c>
      <c r="H80">
        <v>0</v>
      </c>
      <c r="I80" s="68">
        <v>0</v>
      </c>
    </row>
    <row r="81" spans="1:18" x14ac:dyDescent="0.3">
      <c r="B81" s="67">
        <v>0</v>
      </c>
      <c r="C81">
        <v>-16715.79906631399</v>
      </c>
      <c r="D81">
        <v>0</v>
      </c>
      <c r="E81">
        <v>0</v>
      </c>
      <c r="F81">
        <v>0</v>
      </c>
      <c r="G81">
        <v>17386.418171332447</v>
      </c>
      <c r="H81">
        <v>0</v>
      </c>
      <c r="I81" s="68">
        <v>0</v>
      </c>
    </row>
    <row r="82" spans="1:18" x14ac:dyDescent="0.3">
      <c r="B82" s="67">
        <v>0</v>
      </c>
      <c r="C82">
        <v>-19790.416816199664</v>
      </c>
      <c r="D82">
        <v>0</v>
      </c>
      <c r="E82">
        <v>0</v>
      </c>
      <c r="F82">
        <v>0</v>
      </c>
      <c r="G82">
        <v>186506.68716489672</v>
      </c>
      <c r="H82">
        <v>0</v>
      </c>
      <c r="I82" s="68">
        <v>0</v>
      </c>
    </row>
    <row r="83" spans="1:18" x14ac:dyDescent="0.3">
      <c r="B83" s="67">
        <v>0</v>
      </c>
      <c r="C83">
        <v>0</v>
      </c>
      <c r="D83">
        <v>-9259.9992430564835</v>
      </c>
      <c r="E83">
        <v>0</v>
      </c>
      <c r="F83">
        <v>0</v>
      </c>
      <c r="G83">
        <v>0</v>
      </c>
      <c r="H83">
        <v>19549.890980645116</v>
      </c>
      <c r="I83" s="68">
        <v>0</v>
      </c>
    </row>
    <row r="84" spans="1:18" x14ac:dyDescent="0.3">
      <c r="B84" s="67">
        <v>0</v>
      </c>
      <c r="C84">
        <v>0</v>
      </c>
      <c r="D84">
        <v>-27617.476796844694</v>
      </c>
      <c r="E84">
        <v>0</v>
      </c>
      <c r="F84">
        <v>0</v>
      </c>
      <c r="G84">
        <v>0</v>
      </c>
      <c r="H84">
        <v>209714.03273081069</v>
      </c>
      <c r="I84" s="68">
        <v>0</v>
      </c>
    </row>
    <row r="85" spans="1:18" x14ac:dyDescent="0.3">
      <c r="B85" s="67">
        <v>0</v>
      </c>
      <c r="C85">
        <v>0</v>
      </c>
      <c r="D85">
        <v>0</v>
      </c>
      <c r="E85">
        <v>-43769.027550155952</v>
      </c>
      <c r="F85">
        <v>0</v>
      </c>
      <c r="G85">
        <v>0</v>
      </c>
      <c r="H85">
        <v>0</v>
      </c>
      <c r="I85" s="68">
        <v>29486.608554066188</v>
      </c>
    </row>
    <row r="86" spans="1:18" ht="15" thickBot="1" x14ac:dyDescent="0.35">
      <c r="B86" s="75">
        <v>0</v>
      </c>
      <c r="C86" s="76">
        <v>0</v>
      </c>
      <c r="D86" s="76">
        <v>0</v>
      </c>
      <c r="E86" s="76">
        <v>-3825.2371171509553</v>
      </c>
      <c r="F86" s="76">
        <v>0</v>
      </c>
      <c r="G86" s="76">
        <v>0</v>
      </c>
      <c r="H86" s="76">
        <v>0</v>
      </c>
      <c r="I86" s="94">
        <v>316320.28786707082</v>
      </c>
    </row>
    <row r="88" spans="1:18" x14ac:dyDescent="0.3">
      <c r="A88" s="79"/>
      <c r="B88" s="79"/>
      <c r="C88" s="79"/>
      <c r="D88" s="79"/>
      <c r="E88" s="79"/>
      <c r="F88" s="79"/>
      <c r="G88" s="79"/>
      <c r="H88" s="79"/>
      <c r="I88" s="79"/>
      <c r="J88" s="79"/>
      <c r="K88" s="79"/>
      <c r="L88" s="79"/>
      <c r="M88" s="79"/>
      <c r="N88" s="79"/>
      <c r="O88" s="79"/>
      <c r="P88" s="79"/>
      <c r="Q88" s="79"/>
      <c r="R88" s="79"/>
    </row>
    <row r="89" spans="1:18" x14ac:dyDescent="0.3">
      <c r="A89" t="s">
        <v>77</v>
      </c>
      <c r="B89" s="95" t="s">
        <v>76</v>
      </c>
    </row>
    <row r="90" spans="1:18" ht="15" thickBot="1" x14ac:dyDescent="0.35"/>
    <row r="91" spans="1:18" x14ac:dyDescent="0.3">
      <c r="B91" s="93" cm="1">
        <f t="array" ref="B91:I98">MMULT(_xlfn.ANCHORARRAY(B79),C63:J70)</f>
        <v>-5460.4323544751442</v>
      </c>
      <c r="C91" s="65">
        <v>0</v>
      </c>
      <c r="D91" s="65">
        <v>0</v>
      </c>
      <c r="E91" s="65">
        <v>0</v>
      </c>
      <c r="F91" s="65">
        <v>102098576542.99226</v>
      </c>
      <c r="G91" s="65">
        <v>0</v>
      </c>
      <c r="H91" s="65">
        <v>0</v>
      </c>
      <c r="I91" s="66">
        <v>0</v>
      </c>
    </row>
    <row r="92" spans="1:18" x14ac:dyDescent="0.3">
      <c r="B92" s="67">
        <v>-6241.8866338739017</v>
      </c>
      <c r="C92">
        <v>0</v>
      </c>
      <c r="D92">
        <v>0</v>
      </c>
      <c r="E92">
        <v>0</v>
      </c>
      <c r="F92">
        <v>1095265065634.7255</v>
      </c>
      <c r="G92">
        <v>0</v>
      </c>
      <c r="H92">
        <v>0</v>
      </c>
      <c r="I92" s="68">
        <v>0</v>
      </c>
    </row>
    <row r="93" spans="1:18" x14ac:dyDescent="0.3">
      <c r="B93" s="67">
        <v>0</v>
      </c>
      <c r="C93">
        <v>-1401.2040351709047</v>
      </c>
      <c r="D93">
        <v>0</v>
      </c>
      <c r="E93">
        <v>0</v>
      </c>
      <c r="F93">
        <v>0</v>
      </c>
      <c r="G93">
        <v>25571122847.549225</v>
      </c>
      <c r="H93">
        <v>0</v>
      </c>
      <c r="I93" s="68">
        <v>0</v>
      </c>
    </row>
    <row r="94" spans="1:18" x14ac:dyDescent="0.3">
      <c r="B94" s="67">
        <v>0</v>
      </c>
      <c r="C94">
        <v>-1658.9342687455471</v>
      </c>
      <c r="D94">
        <v>0</v>
      </c>
      <c r="E94">
        <v>0</v>
      </c>
      <c r="F94">
        <v>0</v>
      </c>
      <c r="G94">
        <v>274305228505.70029</v>
      </c>
      <c r="H94">
        <v>0</v>
      </c>
      <c r="I94" s="68">
        <v>0</v>
      </c>
    </row>
    <row r="95" spans="1:18" x14ac:dyDescent="0.3">
      <c r="B95" s="67">
        <v>0</v>
      </c>
      <c r="C95">
        <v>0</v>
      </c>
      <c r="D95">
        <v>-776.22064333125695</v>
      </c>
      <c r="E95">
        <v>0</v>
      </c>
      <c r="F95">
        <v>0</v>
      </c>
      <c r="G95">
        <v>0</v>
      </c>
      <c r="H95">
        <v>28943655711.07436</v>
      </c>
      <c r="I95" s="68">
        <v>0</v>
      </c>
    </row>
    <row r="96" spans="1:18" x14ac:dyDescent="0.3">
      <c r="B96" s="67">
        <v>0</v>
      </c>
      <c r="C96">
        <v>0</v>
      </c>
      <c r="D96">
        <v>-2315.0385916615874</v>
      </c>
      <c r="E96">
        <v>0</v>
      </c>
      <c r="F96">
        <v>0</v>
      </c>
      <c r="G96">
        <v>0</v>
      </c>
      <c r="H96">
        <v>310482077222.36963</v>
      </c>
      <c r="I96" s="68">
        <v>0</v>
      </c>
    </row>
    <row r="97" spans="1:18" x14ac:dyDescent="0.3">
      <c r="B97" s="67">
        <v>0</v>
      </c>
      <c r="C97">
        <v>0</v>
      </c>
      <c r="D97">
        <v>0</v>
      </c>
      <c r="E97">
        <v>-3668.9444384610438</v>
      </c>
      <c r="F97">
        <v>0</v>
      </c>
      <c r="G97">
        <v>0</v>
      </c>
      <c r="H97">
        <v>0</v>
      </c>
      <c r="I97" s="68">
        <v>44448138366.481323</v>
      </c>
    </row>
    <row r="98" spans="1:18" ht="15" thickBot="1" x14ac:dyDescent="0.35">
      <c r="B98" s="75">
        <v>0</v>
      </c>
      <c r="C98" s="76">
        <v>0</v>
      </c>
      <c r="D98" s="76">
        <v>0</v>
      </c>
      <c r="E98" s="76">
        <v>-320.6509998579063</v>
      </c>
      <c r="F98" s="76">
        <v>0</v>
      </c>
      <c r="G98" s="76">
        <v>0</v>
      </c>
      <c r="H98" s="76">
        <v>0</v>
      </c>
      <c r="I98" s="94">
        <v>476821466173.73267</v>
      </c>
    </row>
    <row r="100" spans="1:18" x14ac:dyDescent="0.3">
      <c r="A100" s="79"/>
      <c r="B100" s="79"/>
      <c r="C100" s="79"/>
      <c r="D100" s="79"/>
      <c r="E100" s="79"/>
      <c r="F100" s="79"/>
      <c r="G100" s="79"/>
      <c r="H100" s="79"/>
      <c r="I100" s="79"/>
      <c r="J100" s="79"/>
      <c r="K100" s="79"/>
      <c r="L100" s="79"/>
      <c r="M100" s="79"/>
      <c r="N100" s="79"/>
      <c r="O100" s="79"/>
      <c r="P100" s="79"/>
      <c r="Q100" s="79"/>
      <c r="R100" s="79"/>
    </row>
    <row r="101" spans="1:18" x14ac:dyDescent="0.3">
      <c r="A101" t="s">
        <v>79</v>
      </c>
      <c r="B101" s="95" t="s">
        <v>80</v>
      </c>
    </row>
    <row r="102" spans="1:18" ht="15" thickBot="1" x14ac:dyDescent="0.35"/>
    <row r="103" spans="1:18" x14ac:dyDescent="0.3">
      <c r="B103" s="93" cm="1">
        <f t="array" ref="B103:I110">MMULT(_xlfn.ANCHORARRAY(B91),C30:J37)</f>
        <v>6779190808494246</v>
      </c>
      <c r="C103" s="65">
        <v>7.2723937680173792E+16</v>
      </c>
      <c r="D103" s="65">
        <v>0</v>
      </c>
      <c r="E103" s="65">
        <v>0</v>
      </c>
      <c r="F103" s="65">
        <v>0</v>
      </c>
      <c r="G103" s="65">
        <v>0</v>
      </c>
      <c r="H103" s="65">
        <v>0</v>
      </c>
      <c r="I103" s="66">
        <v>0</v>
      </c>
    </row>
    <row r="104" spans="1:18" x14ac:dyDescent="0.3">
      <c r="B104" s="67">
        <v>7.2723937680173808E+16</v>
      </c>
      <c r="C104">
        <v>7.8014787938859546E+17</v>
      </c>
      <c r="D104">
        <v>0</v>
      </c>
      <c r="E104">
        <v>0</v>
      </c>
      <c r="F104">
        <v>0</v>
      </c>
      <c r="G104">
        <v>0</v>
      </c>
      <c r="H104">
        <v>0</v>
      </c>
      <c r="I104" s="68">
        <v>0</v>
      </c>
    </row>
    <row r="105" spans="1:18" x14ac:dyDescent="0.3">
      <c r="B105" s="67">
        <v>0</v>
      </c>
      <c r="C105">
        <v>0</v>
      </c>
      <c r="D105">
        <v>444590258360249.25</v>
      </c>
      <c r="E105">
        <v>4769185437113418</v>
      </c>
      <c r="F105">
        <v>0</v>
      </c>
      <c r="G105">
        <v>0</v>
      </c>
      <c r="H105">
        <v>0</v>
      </c>
      <c r="I105" s="68">
        <v>0</v>
      </c>
    </row>
    <row r="106" spans="1:18" x14ac:dyDescent="0.3">
      <c r="B106" s="67">
        <v>0</v>
      </c>
      <c r="C106">
        <v>0</v>
      </c>
      <c r="D106">
        <v>4769185437113419</v>
      </c>
      <c r="E106">
        <v>5.1159759473439152E+16</v>
      </c>
      <c r="F106">
        <v>0</v>
      </c>
      <c r="G106">
        <v>0</v>
      </c>
      <c r="H106">
        <v>0</v>
      </c>
      <c r="I106" s="68">
        <v>0</v>
      </c>
    </row>
    <row r="107" spans="1:18" x14ac:dyDescent="0.3">
      <c r="B107" s="67">
        <v>0</v>
      </c>
      <c r="C107">
        <v>0</v>
      </c>
      <c r="D107">
        <v>0</v>
      </c>
      <c r="E107">
        <v>0</v>
      </c>
      <c r="F107">
        <v>565845320920632.75</v>
      </c>
      <c r="G107">
        <v>6069890782578820</v>
      </c>
      <c r="H107">
        <v>0</v>
      </c>
      <c r="I107" s="68">
        <v>0</v>
      </c>
    </row>
    <row r="108" spans="1:18" x14ac:dyDescent="0.3">
      <c r="B108" s="67">
        <v>0</v>
      </c>
      <c r="C108">
        <v>0</v>
      </c>
      <c r="D108">
        <v>0</v>
      </c>
      <c r="E108">
        <v>0</v>
      </c>
      <c r="F108">
        <v>6069890782578820</v>
      </c>
      <c r="G108">
        <v>6.5112448568877648E+16</v>
      </c>
      <c r="H108">
        <v>0</v>
      </c>
      <c r="I108" s="68">
        <v>0</v>
      </c>
    </row>
    <row r="109" spans="1:18" x14ac:dyDescent="0.3">
      <c r="B109" s="67">
        <v>0</v>
      </c>
      <c r="C109">
        <v>0</v>
      </c>
      <c r="D109">
        <v>0</v>
      </c>
      <c r="E109">
        <v>0</v>
      </c>
      <c r="F109">
        <v>0</v>
      </c>
      <c r="G109">
        <v>0</v>
      </c>
      <c r="H109">
        <v>1310625017555536</v>
      </c>
      <c r="I109" s="68">
        <v>1.4059847937275348E+16</v>
      </c>
    </row>
    <row r="110" spans="1:18" ht="15" thickBot="1" x14ac:dyDescent="0.35">
      <c r="B110" s="75">
        <v>0</v>
      </c>
      <c r="C110" s="76">
        <v>0</v>
      </c>
      <c r="D110" s="76">
        <v>0</v>
      </c>
      <c r="E110" s="76">
        <v>0</v>
      </c>
      <c r="F110" s="76">
        <v>0</v>
      </c>
      <c r="G110" s="76">
        <v>0</v>
      </c>
      <c r="H110" s="76">
        <v>1.405984793727535E+16</v>
      </c>
      <c r="I110" s="94">
        <v>1.5082830344250045E+17</v>
      </c>
    </row>
    <row r="112" spans="1:18" x14ac:dyDescent="0.3">
      <c r="A112" s="79"/>
      <c r="B112" s="79"/>
      <c r="C112" s="79"/>
      <c r="D112" s="79"/>
      <c r="E112" s="79"/>
      <c r="F112" s="79"/>
      <c r="G112" s="79"/>
      <c r="H112" s="79"/>
      <c r="I112" s="79"/>
      <c r="J112" s="79"/>
      <c r="K112" s="79"/>
      <c r="L112" s="79"/>
      <c r="M112" s="79"/>
      <c r="N112" s="79"/>
      <c r="O112" s="79"/>
      <c r="P112" s="79"/>
      <c r="Q112" s="79"/>
      <c r="R112" s="79"/>
    </row>
    <row r="113" spans="1:18" ht="16.2" x14ac:dyDescent="0.3">
      <c r="A113" t="s">
        <v>81</v>
      </c>
      <c r="B113" s="95" t="s">
        <v>82</v>
      </c>
    </row>
    <row r="114" spans="1:18" ht="15" thickBot="1" x14ac:dyDescent="0.35"/>
    <row r="115" spans="1:18" x14ac:dyDescent="0.3">
      <c r="B115" s="93" cm="1">
        <f t="array" ref="B115:I122">MINVERSE(_xlfn.ANCHORARRAY(B103))</f>
        <v>3.5219908184692304E-9</v>
      </c>
      <c r="C115" s="65">
        <v>-3.2831344871850826E-10</v>
      </c>
      <c r="D115" s="65">
        <v>0</v>
      </c>
      <c r="E115" s="65">
        <v>0</v>
      </c>
      <c r="F115" s="65">
        <v>0</v>
      </c>
      <c r="G115" s="65">
        <v>0</v>
      </c>
      <c r="H115" s="65">
        <v>0</v>
      </c>
      <c r="I115" s="66">
        <v>0</v>
      </c>
    </row>
    <row r="116" spans="1:18" x14ac:dyDescent="0.3">
      <c r="B116" s="67">
        <v>-3.2831344871850831E-10</v>
      </c>
      <c r="C116">
        <v>3.0604771755426201E-11</v>
      </c>
      <c r="D116">
        <v>0</v>
      </c>
      <c r="E116">
        <v>0</v>
      </c>
      <c r="F116">
        <v>0</v>
      </c>
      <c r="G116">
        <v>0</v>
      </c>
      <c r="H116">
        <v>0</v>
      </c>
      <c r="I116" s="68">
        <v>0</v>
      </c>
    </row>
    <row r="117" spans="1:18" x14ac:dyDescent="0.3">
      <c r="B117" s="67">
        <v>0</v>
      </c>
      <c r="C117">
        <v>0</v>
      </c>
      <c r="D117">
        <v>5.3944947214573897E-8</v>
      </c>
      <c r="E117">
        <v>-5.0288245939695583E-9</v>
      </c>
      <c r="F117">
        <v>0</v>
      </c>
      <c r="G117">
        <v>0</v>
      </c>
      <c r="H117">
        <v>0</v>
      </c>
      <c r="I117" s="68">
        <v>0</v>
      </c>
    </row>
    <row r="118" spans="1:18" x14ac:dyDescent="0.3">
      <c r="B118" s="67">
        <v>0</v>
      </c>
      <c r="C118">
        <v>0</v>
      </c>
      <c r="D118">
        <v>-5.0288245939695591E-9</v>
      </c>
      <c r="E118">
        <v>4.6879419032079289E-10</v>
      </c>
      <c r="F118">
        <v>0</v>
      </c>
      <c r="G118">
        <v>0</v>
      </c>
      <c r="H118">
        <v>0</v>
      </c>
      <c r="I118" s="68">
        <v>0</v>
      </c>
    </row>
    <row r="119" spans="1:18" x14ac:dyDescent="0.3">
      <c r="B119" s="67">
        <v>0</v>
      </c>
      <c r="C119">
        <v>0</v>
      </c>
      <c r="D119">
        <v>0</v>
      </c>
      <c r="E119">
        <v>0</v>
      </c>
      <c r="F119">
        <v>2.6690959943915792E-7</v>
      </c>
      <c r="G119">
        <v>-2.488175691478954E-8</v>
      </c>
      <c r="H119">
        <v>0</v>
      </c>
      <c r="I119" s="68">
        <v>0</v>
      </c>
    </row>
    <row r="120" spans="1:18" x14ac:dyDescent="0.3">
      <c r="B120" s="67">
        <v>0</v>
      </c>
      <c r="C120">
        <v>0</v>
      </c>
      <c r="D120">
        <v>0</v>
      </c>
      <c r="E120">
        <v>0</v>
      </c>
      <c r="F120">
        <v>-2.4881756914789537E-8</v>
      </c>
      <c r="G120">
        <v>2.3195187905072384E-9</v>
      </c>
      <c r="H120">
        <v>0</v>
      </c>
      <c r="I120" s="68">
        <v>0</v>
      </c>
    </row>
    <row r="121" spans="1:18" x14ac:dyDescent="0.3">
      <c r="B121" s="67">
        <v>0</v>
      </c>
      <c r="C121">
        <v>0</v>
      </c>
      <c r="D121">
        <v>0</v>
      </c>
      <c r="E121">
        <v>0</v>
      </c>
      <c r="F121">
        <v>0</v>
      </c>
      <c r="G121">
        <v>0</v>
      </c>
      <c r="H121">
        <v>6.3299051885627447E-9</v>
      </c>
      <c r="I121" s="68">
        <v>-5.9005838014010759E-10</v>
      </c>
    </row>
    <row r="122" spans="1:18" ht="15" thickBot="1" x14ac:dyDescent="0.35">
      <c r="B122" s="75">
        <v>0</v>
      </c>
      <c r="C122" s="76">
        <v>0</v>
      </c>
      <c r="D122" s="76">
        <v>0</v>
      </c>
      <c r="E122" s="76">
        <v>0</v>
      </c>
      <c r="F122" s="76">
        <v>0</v>
      </c>
      <c r="G122" s="76">
        <v>0</v>
      </c>
      <c r="H122" s="76">
        <v>-5.9005838014010769E-10</v>
      </c>
      <c r="I122" s="94">
        <v>5.5003814997147541E-11</v>
      </c>
    </row>
    <row r="124" spans="1:18" x14ac:dyDescent="0.3">
      <c r="A124" s="79"/>
      <c r="B124" s="79"/>
      <c r="C124" s="79"/>
      <c r="D124" s="79"/>
      <c r="E124" s="79"/>
      <c r="F124" s="79"/>
      <c r="G124" s="79"/>
      <c r="H124" s="79"/>
      <c r="I124" s="79"/>
      <c r="J124" s="79"/>
      <c r="K124" s="79"/>
      <c r="L124" s="79"/>
      <c r="M124" s="79"/>
      <c r="N124" s="79"/>
      <c r="O124" s="79"/>
      <c r="P124" s="79"/>
      <c r="Q124" s="79"/>
      <c r="R124" s="79"/>
    </row>
    <row r="125" spans="1:18" x14ac:dyDescent="0.3">
      <c r="A125" t="s">
        <v>83</v>
      </c>
      <c r="B125" s="95" t="s">
        <v>84</v>
      </c>
    </row>
    <row r="126" spans="1:18" ht="15" thickBot="1" x14ac:dyDescent="0.35"/>
    <row r="127" spans="1:18" x14ac:dyDescent="0.3">
      <c r="B127" s="96" cm="1">
        <f t="array" ref="B127:B134">MMULT(_xlfn.ANCHORARRAY(B91),C48:C55)</f>
        <v>13.993578477846768</v>
      </c>
    </row>
    <row r="128" spans="1:18" x14ac:dyDescent="0.3">
      <c r="B128" s="97">
        <v>150.89150402135789</v>
      </c>
    </row>
    <row r="129" spans="1:18" x14ac:dyDescent="0.3">
      <c r="B129" s="97">
        <v>-5.1235728647714529</v>
      </c>
    </row>
    <row r="130" spans="1:18" x14ac:dyDescent="0.3">
      <c r="B130" s="97">
        <v>-55.046378713747487</v>
      </c>
    </row>
    <row r="131" spans="1:18" x14ac:dyDescent="0.3">
      <c r="B131" s="97">
        <v>3.5761012303777422</v>
      </c>
    </row>
    <row r="132" spans="1:18" x14ac:dyDescent="0.3">
      <c r="B132" s="97">
        <v>38.428698600807508</v>
      </c>
    </row>
    <row r="133" spans="1:18" x14ac:dyDescent="0.3">
      <c r="B133" s="97">
        <v>5.5734310606932409</v>
      </c>
    </row>
    <row r="134" spans="1:18" ht="15" thickBot="1" x14ac:dyDescent="0.35">
      <c r="B134" s="98">
        <v>59.761519653174105</v>
      </c>
    </row>
    <row r="136" spans="1:18" x14ac:dyDescent="0.3">
      <c r="A136" s="79"/>
      <c r="B136" s="79"/>
      <c r="C136" s="79"/>
      <c r="D136" s="79"/>
      <c r="E136" s="79"/>
      <c r="F136" s="79"/>
      <c r="G136" s="79"/>
      <c r="H136" s="79"/>
      <c r="I136" s="79"/>
      <c r="J136" s="79"/>
      <c r="K136" s="79"/>
      <c r="L136" s="79"/>
      <c r="M136" s="79"/>
      <c r="N136" s="79"/>
      <c r="O136" s="79"/>
      <c r="P136" s="79"/>
      <c r="Q136" s="79"/>
      <c r="R136" s="79"/>
    </row>
    <row r="137" spans="1:18" x14ac:dyDescent="0.3">
      <c r="A137" t="s">
        <v>85</v>
      </c>
      <c r="B137" s="95" t="s">
        <v>86</v>
      </c>
    </row>
    <row r="138" spans="1:18" ht="15" thickBot="1" x14ac:dyDescent="0.35"/>
    <row r="139" spans="1:18" x14ac:dyDescent="0.3">
      <c r="B139" s="96" cm="1">
        <f t="array" ref="B139:B146">MMULT(_xlfn.ANCHORARRAY(B115),_xlfn.ANCHORARRAY(B127))</f>
        <v>-2.5445515106972204E-10</v>
      </c>
    </row>
    <row r="140" spans="1:18" x14ac:dyDescent="0.3">
      <c r="B140" s="97">
        <v>2.3720030431666194E-11</v>
      </c>
    </row>
    <row r="141" spans="1:18" x14ac:dyDescent="0.3">
      <c r="B141" s="97">
        <v>4.277153445365614E-10</v>
      </c>
    </row>
    <row r="142" spans="1:18" x14ac:dyDescent="0.3">
      <c r="B142" s="97">
        <v>-3.9873307845229089E-11</v>
      </c>
    </row>
    <row r="143" spans="1:18" x14ac:dyDescent="0.3">
      <c r="B143" s="97">
        <v>-1.6777901830023445E-9</v>
      </c>
    </row>
    <row r="144" spans="1:18" x14ac:dyDescent="0.3">
      <c r="B144" s="97">
        <v>1.5640698237348152E-10</v>
      </c>
    </row>
    <row r="145" spans="1:18" x14ac:dyDescent="0.3">
      <c r="B145" s="97">
        <v>1.6504707915792909E-11</v>
      </c>
    </row>
    <row r="146" spans="1:18" ht="15" thickBot="1" x14ac:dyDescent="0.35">
      <c r="B146" s="98">
        <v>-1.5381325436305525E-12</v>
      </c>
    </row>
    <row r="148" spans="1:18" x14ac:dyDescent="0.3">
      <c r="A148" s="79"/>
      <c r="B148" s="79"/>
      <c r="C148" s="79"/>
      <c r="D148" s="79"/>
      <c r="E148" s="79"/>
      <c r="F148" s="79"/>
      <c r="G148" s="79"/>
      <c r="H148" s="79"/>
      <c r="I148" s="79"/>
      <c r="J148" s="79"/>
      <c r="K148" s="79"/>
      <c r="L148" s="79"/>
      <c r="M148" s="79"/>
      <c r="N148" s="79"/>
      <c r="O148" s="79"/>
      <c r="P148" s="79"/>
      <c r="Q148" s="79"/>
      <c r="R148" s="79"/>
    </row>
    <row r="149" spans="1:18" x14ac:dyDescent="0.3">
      <c r="A149" t="s">
        <v>87</v>
      </c>
      <c r="B149" s="95" t="s">
        <v>88</v>
      </c>
    </row>
    <row r="150" spans="1:18" ht="15" thickBot="1" x14ac:dyDescent="0.35"/>
    <row r="151" spans="1:18" x14ac:dyDescent="0.3">
      <c r="B151" s="99" cm="1">
        <f t="array" ref="B151:B158">MMULT(C30:J37,_xlfn.ANCHORARRAY(B139))-C48:C55</f>
        <v>4.958650304872237E-14</v>
      </c>
    </row>
    <row r="152" spans="1:18" x14ac:dyDescent="0.3">
      <c r="B152" s="97">
        <v>-2.1324579607554309E-14</v>
      </c>
    </row>
    <row r="153" spans="1:18" x14ac:dyDescent="0.3">
      <c r="B153" s="97">
        <v>-1.1721090644020628E-13</v>
      </c>
    </row>
    <row r="154" spans="1:18" x14ac:dyDescent="0.3">
      <c r="B154" s="97">
        <v>9.6386155469112582E-16</v>
      </c>
    </row>
    <row r="155" spans="1:18" x14ac:dyDescent="0.3">
      <c r="B155" s="97">
        <v>-3.3203691532368573E-19</v>
      </c>
    </row>
    <row r="156" spans="1:18" x14ac:dyDescent="0.3">
      <c r="B156" s="97">
        <v>4.2266944067989587E-19</v>
      </c>
    </row>
    <row r="157" spans="1:18" x14ac:dyDescent="0.3">
      <c r="B157" s="97">
        <v>2.9070170749767588E-18</v>
      </c>
    </row>
    <row r="158" spans="1:18" ht="15" thickBot="1" x14ac:dyDescent="0.35">
      <c r="B158" s="98">
        <v>9.6244118631769876E-20</v>
      </c>
    </row>
    <row r="160" spans="1:18" x14ac:dyDescent="0.3">
      <c r="A160" s="79"/>
      <c r="B160" s="79"/>
      <c r="C160" s="79"/>
      <c r="D160" s="79"/>
      <c r="E160" s="79"/>
      <c r="F160" s="79"/>
      <c r="G160" s="79"/>
      <c r="H160" s="79"/>
      <c r="I160" s="79"/>
      <c r="J160" s="79"/>
      <c r="K160" s="79"/>
      <c r="L160" s="79"/>
      <c r="M160" s="79"/>
      <c r="N160" s="79"/>
      <c r="O160" s="79"/>
      <c r="P160" s="79"/>
      <c r="Q160" s="79"/>
      <c r="R160" s="79"/>
    </row>
    <row r="161" spans="1:18" ht="16.2" x14ac:dyDescent="0.3">
      <c r="A161" t="s">
        <v>89</v>
      </c>
      <c r="B161" s="95" t="s">
        <v>90</v>
      </c>
    </row>
    <row r="162" spans="1:18" ht="15" thickBot="1" x14ac:dyDescent="0.35"/>
    <row r="163" spans="1:18" ht="15" thickBot="1" x14ac:dyDescent="0.35">
      <c r="B163" s="100" cm="1">
        <f t="array" ref="B163:I163">TRANSPOSE(_xlfn.ANCHORARRAY(B151))</f>
        <v>4.958650304872237E-14</v>
      </c>
      <c r="C163" s="101">
        <v>-2.1324579607554309E-14</v>
      </c>
      <c r="D163" s="101">
        <v>-1.1721090644020628E-13</v>
      </c>
      <c r="E163" s="101">
        <v>9.6386155469112582E-16</v>
      </c>
      <c r="F163" s="101">
        <v>-3.3203691532368573E-19</v>
      </c>
      <c r="G163" s="101">
        <v>4.2266944067989587E-19</v>
      </c>
      <c r="H163" s="101">
        <v>2.9070170749767588E-18</v>
      </c>
      <c r="I163" s="102">
        <v>9.6244118631769876E-20</v>
      </c>
    </row>
    <row r="165" spans="1:18" x14ac:dyDescent="0.3">
      <c r="A165" s="79"/>
      <c r="B165" s="79"/>
      <c r="C165" s="79"/>
      <c r="D165" s="79"/>
      <c r="E165" s="79"/>
      <c r="F165" s="79"/>
      <c r="G165" s="79"/>
      <c r="H165" s="79"/>
      <c r="I165" s="79"/>
      <c r="J165" s="79"/>
      <c r="K165" s="79"/>
      <c r="L165" s="79"/>
      <c r="M165" s="79"/>
      <c r="N165" s="79"/>
      <c r="O165" s="79"/>
      <c r="P165" s="79"/>
      <c r="Q165" s="79"/>
      <c r="R165" s="79"/>
    </row>
    <row r="166" spans="1:18" x14ac:dyDescent="0.3">
      <c r="A166" t="s">
        <v>91</v>
      </c>
      <c r="B166" s="95" t="s">
        <v>92</v>
      </c>
    </row>
    <row r="167" spans="1:18" ht="15" thickBot="1" x14ac:dyDescent="0.35"/>
    <row r="168" spans="1:18" ht="15" thickBot="1" x14ac:dyDescent="0.35">
      <c r="B168" s="100" cm="1">
        <f t="array" ref="B168:I168">MMULT(_xlfn.ANCHORARRAY(B163),C63:J70)</f>
        <v>4.1565950802736833E-15</v>
      </c>
      <c r="C168" s="101">
        <v>-1.7875356646660841E-15</v>
      </c>
      <c r="D168" s="101">
        <v>-9.8252195075154305E-15</v>
      </c>
      <c r="E168" s="101">
        <v>8.079582043439347E-17</v>
      </c>
      <c r="F168" s="101">
        <v>-5.1056132027827944E-13</v>
      </c>
      <c r="G168" s="101">
        <v>6.2164225460489039E-13</v>
      </c>
      <c r="H168" s="101">
        <v>4.3038450417775812E-12</v>
      </c>
      <c r="I168" s="102">
        <v>1.4507846482450199E-13</v>
      </c>
    </row>
    <row r="170" spans="1:18" x14ac:dyDescent="0.3">
      <c r="A170" s="79"/>
      <c r="B170" s="79"/>
      <c r="C170" s="79"/>
      <c r="D170" s="79"/>
      <c r="E170" s="79"/>
      <c r="F170" s="79"/>
      <c r="G170" s="79"/>
      <c r="H170" s="79"/>
      <c r="I170" s="79"/>
      <c r="J170" s="79"/>
      <c r="K170" s="79"/>
      <c r="L170" s="79"/>
      <c r="M170" s="79"/>
      <c r="N170" s="79"/>
      <c r="O170" s="79"/>
      <c r="P170" s="79"/>
      <c r="Q170" s="79"/>
      <c r="R170" s="79"/>
    </row>
    <row r="171" spans="1:18" x14ac:dyDescent="0.3">
      <c r="A171" t="s">
        <v>93</v>
      </c>
      <c r="B171" s="95" t="s">
        <v>94</v>
      </c>
    </row>
    <row r="172" spans="1:18" ht="15" thickBot="1" x14ac:dyDescent="0.35"/>
    <row r="173" spans="1:18" ht="15" thickBot="1" x14ac:dyDescent="0.35">
      <c r="B173" s="103">
        <f>COUNTA(B30:B37)</f>
        <v>8</v>
      </c>
    </row>
    <row r="175" spans="1:18" x14ac:dyDescent="0.3">
      <c r="A175" s="79"/>
      <c r="B175" s="79"/>
      <c r="C175" s="79"/>
      <c r="D175" s="79"/>
      <c r="E175" s="79"/>
      <c r="F175" s="79"/>
      <c r="G175" s="79"/>
      <c r="H175" s="79"/>
      <c r="I175" s="79"/>
      <c r="J175" s="79"/>
      <c r="K175" s="79"/>
      <c r="L175" s="79"/>
      <c r="M175" s="79"/>
      <c r="N175" s="79"/>
      <c r="O175" s="79"/>
      <c r="P175" s="79"/>
      <c r="Q175" s="79"/>
      <c r="R175" s="79"/>
    </row>
    <row r="176" spans="1:18" x14ac:dyDescent="0.3">
      <c r="A176" t="s">
        <v>95</v>
      </c>
      <c r="B176" s="95" t="s">
        <v>96</v>
      </c>
    </row>
    <row r="177" spans="1:18" ht="15" thickBot="1" x14ac:dyDescent="0.35"/>
    <row r="178" spans="1:18" ht="15" thickBot="1" x14ac:dyDescent="0.35">
      <c r="B178" s="103">
        <f>COUNTA(C29:J29)</f>
        <v>8</v>
      </c>
    </row>
    <row r="180" spans="1:18" x14ac:dyDescent="0.3">
      <c r="A180" s="79"/>
      <c r="B180" s="79"/>
      <c r="C180" s="79"/>
      <c r="D180" s="79"/>
      <c r="E180" s="79"/>
      <c r="F180" s="79"/>
      <c r="G180" s="79"/>
      <c r="H180" s="79"/>
      <c r="I180" s="79"/>
      <c r="J180" s="79"/>
      <c r="K180" s="79"/>
      <c r="L180" s="79"/>
      <c r="M180" s="79"/>
      <c r="N180" s="79"/>
      <c r="O180" s="79"/>
      <c r="P180" s="79"/>
      <c r="Q180" s="79"/>
      <c r="R180" s="79"/>
    </row>
    <row r="181" spans="1:18" x14ac:dyDescent="0.3">
      <c r="A181" t="s">
        <v>97</v>
      </c>
      <c r="B181" s="95" t="s">
        <v>98</v>
      </c>
    </row>
    <row r="182" spans="1:18" ht="15" thickBot="1" x14ac:dyDescent="0.35"/>
    <row r="183" spans="1:18" ht="15" thickBot="1" x14ac:dyDescent="0.35">
      <c r="B183" s="103">
        <v>0</v>
      </c>
    </row>
    <row r="185" spans="1:18" x14ac:dyDescent="0.3">
      <c r="A185" s="79"/>
      <c r="B185" s="79"/>
      <c r="C185" s="79"/>
      <c r="D185" s="79"/>
      <c r="E185" s="79"/>
      <c r="F185" s="79"/>
      <c r="G185" s="79"/>
      <c r="H185" s="79"/>
      <c r="I185" s="79"/>
      <c r="J185" s="79"/>
      <c r="K185" s="79"/>
      <c r="L185" s="79"/>
      <c r="M185" s="79"/>
      <c r="N185" s="79"/>
      <c r="O185" s="79"/>
      <c r="P185" s="79"/>
      <c r="Q185" s="79"/>
      <c r="R185" s="79"/>
    </row>
    <row r="186" spans="1:18" x14ac:dyDescent="0.3">
      <c r="A186" t="s">
        <v>99</v>
      </c>
      <c r="B186" s="95" t="s">
        <v>100</v>
      </c>
    </row>
    <row r="187" spans="1:18" ht="15" thickBot="1" x14ac:dyDescent="0.35"/>
    <row r="188" spans="1:18" ht="15" thickBot="1" x14ac:dyDescent="0.35">
      <c r="B188" s="105" cm="1">
        <f t="array" ref="B188">IF(B183=0,0,MMULT(_xlfn.ANCHORARRAY(B168),_xlfn.ANCHORARRAY(B151))/B183)</f>
        <v>0</v>
      </c>
    </row>
    <row r="190" spans="1:18" x14ac:dyDescent="0.3">
      <c r="A190" s="79"/>
      <c r="B190" s="79"/>
      <c r="C190" s="79"/>
      <c r="D190" s="79"/>
      <c r="E190" s="79"/>
      <c r="F190" s="79"/>
      <c r="G190" s="79"/>
      <c r="H190" s="79"/>
      <c r="I190" s="79"/>
      <c r="J190" s="79"/>
      <c r="K190" s="79"/>
      <c r="L190" s="79"/>
      <c r="M190" s="79"/>
      <c r="N190" s="79"/>
      <c r="O190" s="79"/>
      <c r="P190" s="79"/>
      <c r="Q190" s="79"/>
      <c r="R190" s="79"/>
    </row>
    <row r="191" spans="1:18" x14ac:dyDescent="0.3">
      <c r="A191" t="s">
        <v>101</v>
      </c>
      <c r="B191" s="95" t="s">
        <v>102</v>
      </c>
    </row>
    <row r="192" spans="1:18" ht="15" thickBot="1" x14ac:dyDescent="0.35"/>
    <row r="193" spans="1:18" ht="15" thickBot="1" x14ac:dyDescent="0.35">
      <c r="B193" s="103">
        <f>SQRT(B188)</f>
        <v>0</v>
      </c>
    </row>
    <row r="195" spans="1:18" x14ac:dyDescent="0.3">
      <c r="A195" s="79"/>
      <c r="B195" s="79"/>
      <c r="C195" s="79"/>
      <c r="D195" s="79"/>
      <c r="E195" s="79"/>
      <c r="F195" s="79"/>
      <c r="G195" s="79"/>
      <c r="H195" s="79"/>
      <c r="I195" s="79"/>
      <c r="J195" s="79"/>
      <c r="K195" s="79"/>
      <c r="L195" s="79"/>
      <c r="M195" s="79"/>
      <c r="N195" s="79"/>
      <c r="O195" s="79"/>
      <c r="P195" s="79"/>
      <c r="Q195" s="79"/>
      <c r="R195" s="79"/>
    </row>
    <row r="196" spans="1:18" x14ac:dyDescent="0.3">
      <c r="A196" t="s">
        <v>103</v>
      </c>
      <c r="B196" s="104">
        <v>1.9599639845400536</v>
      </c>
      <c r="C196" t="s">
        <v>104</v>
      </c>
    </row>
    <row r="198" spans="1:18" x14ac:dyDescent="0.3">
      <c r="A198" s="79"/>
      <c r="B198" s="79"/>
      <c r="C198" s="79"/>
      <c r="D198" s="79"/>
      <c r="E198" s="79"/>
      <c r="F198" s="79"/>
      <c r="G198" s="79"/>
      <c r="H198" s="79"/>
      <c r="I198" s="79"/>
      <c r="J198" s="79"/>
      <c r="K198" s="79"/>
      <c r="L198" s="79"/>
      <c r="M198" s="79"/>
      <c r="N198" s="79"/>
      <c r="O198" s="79"/>
      <c r="P198" s="79"/>
      <c r="Q198" s="79"/>
      <c r="R198" s="79"/>
    </row>
    <row r="199" spans="1:18" x14ac:dyDescent="0.3">
      <c r="A199" t="s">
        <v>105</v>
      </c>
      <c r="B199" s="95" t="s">
        <v>106</v>
      </c>
    </row>
    <row r="201" spans="1:18" ht="15" thickBot="1" x14ac:dyDescent="0.35"/>
    <row r="202" spans="1:18" x14ac:dyDescent="0.3">
      <c r="B202" s="59" t="str">
        <f>C29</f>
        <v>dx_C3</v>
      </c>
      <c r="C202" s="96">
        <f>$B$193*B115</f>
        <v>0</v>
      </c>
    </row>
    <row r="203" spans="1:18" x14ac:dyDescent="0.3">
      <c r="B203" s="59" t="str">
        <f>D29</f>
        <v>dy_C3</v>
      </c>
      <c r="C203" s="97">
        <f>$B$193*C116</f>
        <v>0</v>
      </c>
    </row>
    <row r="204" spans="1:18" x14ac:dyDescent="0.3">
      <c r="B204" s="60" t="str">
        <f>E29</f>
        <v>dx_C6</v>
      </c>
      <c r="C204" s="97">
        <f>$B$193*D117</f>
        <v>0</v>
      </c>
    </row>
    <row r="205" spans="1:18" x14ac:dyDescent="0.3">
      <c r="B205" s="60" t="str">
        <f>F29</f>
        <v>dy_C6</v>
      </c>
      <c r="C205" s="97">
        <f>$B$193*E118</f>
        <v>0</v>
      </c>
    </row>
    <row r="206" spans="1:18" x14ac:dyDescent="0.3">
      <c r="B206" s="61" t="str">
        <f>G29</f>
        <v>dx_C8</v>
      </c>
      <c r="C206" s="97">
        <f>$B$193*F119</f>
        <v>0</v>
      </c>
    </row>
    <row r="207" spans="1:18" x14ac:dyDescent="0.3">
      <c r="B207" s="61" t="str">
        <f>H29</f>
        <v>dy_C8</v>
      </c>
      <c r="C207" s="97">
        <f>$B$193*G120</f>
        <v>0</v>
      </c>
    </row>
    <row r="208" spans="1:18" x14ac:dyDescent="0.3">
      <c r="B208" s="62" t="str">
        <f>I29</f>
        <v>dx_P1</v>
      </c>
      <c r="C208" s="97">
        <f>$B$193*H121</f>
        <v>0</v>
      </c>
    </row>
    <row r="209" spans="1:18" ht="15" thickBot="1" x14ac:dyDescent="0.35">
      <c r="B209" s="62" t="str">
        <f>J29</f>
        <v>dy_P1</v>
      </c>
      <c r="C209" s="98">
        <f>$B$193*I122</f>
        <v>0</v>
      </c>
    </row>
    <row r="211" spans="1:18" x14ac:dyDescent="0.3">
      <c r="A211" s="79"/>
      <c r="B211" s="79"/>
      <c r="C211" s="79"/>
      <c r="D211" s="79"/>
      <c r="E211" s="79"/>
      <c r="F211" s="79"/>
      <c r="G211" s="79"/>
      <c r="H211" s="79"/>
      <c r="I211" s="79"/>
      <c r="J211" s="79"/>
      <c r="K211" s="79"/>
      <c r="L211" s="79"/>
      <c r="M211" s="79"/>
      <c r="N211" s="79"/>
      <c r="O211" s="79"/>
      <c r="P211" s="79"/>
      <c r="Q211" s="79"/>
      <c r="R211" s="79"/>
    </row>
    <row r="212" spans="1:18" x14ac:dyDescent="0.3">
      <c r="A212" t="s">
        <v>113</v>
      </c>
      <c r="B212" s="95" t="s">
        <v>114</v>
      </c>
    </row>
    <row r="213" spans="1:18" ht="15" thickBot="1" x14ac:dyDescent="0.35"/>
    <row r="214" spans="1:18" x14ac:dyDescent="0.3">
      <c r="B214" s="59" t="s">
        <v>107</v>
      </c>
      <c r="C214" s="96">
        <f>N12+B139</f>
        <v>427257.21890672226</v>
      </c>
    </row>
    <row r="215" spans="1:18" x14ac:dyDescent="0.3">
      <c r="B215" s="59" t="s">
        <v>108</v>
      </c>
      <c r="C215" s="97">
        <f>O12+B140</f>
        <v>4583412.6366270185</v>
      </c>
    </row>
    <row r="216" spans="1:18" x14ac:dyDescent="0.3">
      <c r="B216" s="60" t="s">
        <v>109</v>
      </c>
      <c r="C216" s="97">
        <f>N13+B141</f>
        <v>427271.15001191339</v>
      </c>
    </row>
    <row r="217" spans="1:18" x14ac:dyDescent="0.3">
      <c r="B217" s="60" t="s">
        <v>110</v>
      </c>
      <c r="C217" s="97">
        <f>O13+B142</f>
        <v>4583401.0159293422</v>
      </c>
    </row>
    <row r="218" spans="1:18" x14ac:dyDescent="0.3">
      <c r="B218" s="61" t="s">
        <v>111</v>
      </c>
      <c r="C218" s="97">
        <f>N14+B143</f>
        <v>427273.09754348418</v>
      </c>
    </row>
    <row r="219" spans="1:18" x14ac:dyDescent="0.3">
      <c r="B219" s="61" t="s">
        <v>112</v>
      </c>
      <c r="C219" s="97">
        <f>O14+B144</f>
        <v>4583409.9255049983</v>
      </c>
    </row>
    <row r="220" spans="1:18" x14ac:dyDescent="0.3">
      <c r="B220" s="62" t="s">
        <v>60</v>
      </c>
      <c r="C220" s="97">
        <f>N15+B145</f>
        <v>427253.63733738975</v>
      </c>
    </row>
    <row r="221" spans="1:18" ht="15" thickBot="1" x14ac:dyDescent="0.35">
      <c r="B221" s="62" t="s">
        <v>61</v>
      </c>
      <c r="C221" s="98">
        <f>O15+B146</f>
        <v>4583402.4386700531</v>
      </c>
    </row>
    <row r="222" spans="1:18" ht="15" thickBot="1" x14ac:dyDescent="0.35"/>
    <row r="223" spans="1:18" x14ac:dyDescent="0.3">
      <c r="F223" s="126" t="s">
        <v>118</v>
      </c>
      <c r="G223" s="127"/>
      <c r="H223" s="58"/>
    </row>
    <row r="224" spans="1:18" ht="28.8" x14ac:dyDescent="0.3">
      <c r="C224" s="13" t="s">
        <v>30</v>
      </c>
      <c r="D224" s="13" t="s">
        <v>29</v>
      </c>
      <c r="E224" s="116" t="s">
        <v>28</v>
      </c>
      <c r="F224" s="120" t="s">
        <v>119</v>
      </c>
      <c r="G224" s="121" t="s">
        <v>120</v>
      </c>
    </row>
    <row r="225" spans="2:7" x14ac:dyDescent="0.3">
      <c r="B225" s="106" t="s">
        <v>19</v>
      </c>
      <c r="C225" s="113">
        <v>427257.23149999999</v>
      </c>
      <c r="D225" s="113">
        <v>4583412.6255999999</v>
      </c>
      <c r="E225" s="119">
        <v>50.0261</v>
      </c>
      <c r="F225" s="128">
        <f>C225-$C$214</f>
        <v>1.2593277730047703E-2</v>
      </c>
      <c r="G225" s="129">
        <f>D225-$C$215</f>
        <v>-1.1027018539607525E-2</v>
      </c>
    </row>
    <row r="226" spans="2:7" x14ac:dyDescent="0.3">
      <c r="B226" s="107" t="s">
        <v>20</v>
      </c>
      <c r="C226" s="113">
        <v>427271.18979999999</v>
      </c>
      <c r="D226" s="113">
        <v>4583400.9823000003</v>
      </c>
      <c r="E226" s="119">
        <v>50.046300000000002</v>
      </c>
      <c r="F226" s="128">
        <f>C226-$C$216</f>
        <v>3.9788086607586592E-2</v>
      </c>
      <c r="G226" s="129">
        <f>D226-$C$217</f>
        <v>-3.362934198230505E-2</v>
      </c>
    </row>
    <row r="227" spans="2:7" x14ac:dyDescent="0.3">
      <c r="B227" s="108" t="s">
        <v>21</v>
      </c>
      <c r="C227" s="113">
        <v>427273.14069999999</v>
      </c>
      <c r="D227" s="113">
        <v>4583409.9110000003</v>
      </c>
      <c r="E227" s="119">
        <v>50.1342</v>
      </c>
      <c r="F227" s="128">
        <f>C227-$C$218</f>
        <v>4.3156515806913376E-2</v>
      </c>
      <c r="G227" s="129">
        <f>D227-$C$219</f>
        <v>-1.4504997991025448E-2</v>
      </c>
    </row>
    <row r="228" spans="2:7" ht="15" thickBot="1" x14ac:dyDescent="0.35">
      <c r="B228" s="27" t="s">
        <v>22</v>
      </c>
      <c r="C228" s="113">
        <v>427253.63650000002</v>
      </c>
      <c r="D228" s="113">
        <v>4583402.4474999998</v>
      </c>
      <c r="E228" s="119">
        <v>52.2273</v>
      </c>
      <c r="F228" s="130">
        <f>C228-$C$220</f>
        <v>-8.3738972898572683E-4</v>
      </c>
      <c r="G228" s="131">
        <f>D228-$C$221</f>
        <v>8.8299466297030449E-3</v>
      </c>
    </row>
    <row r="229" spans="2:7" ht="15" thickBot="1" x14ac:dyDescent="0.35"/>
    <row r="230" spans="2:7" x14ac:dyDescent="0.3">
      <c r="F230" s="117" t="s">
        <v>121</v>
      </c>
      <c r="G230" s="118"/>
    </row>
    <row r="231" spans="2:7" ht="28.8" x14ac:dyDescent="0.3">
      <c r="C231" s="13" t="s">
        <v>115</v>
      </c>
      <c r="D231" s="13" t="s">
        <v>116</v>
      </c>
      <c r="E231" s="116" t="s">
        <v>117</v>
      </c>
      <c r="F231" s="120" t="s">
        <v>119</v>
      </c>
      <c r="G231" s="121" t="s">
        <v>120</v>
      </c>
    </row>
    <row r="232" spans="2:7" x14ac:dyDescent="0.3">
      <c r="B232" s="106" t="s">
        <v>19</v>
      </c>
      <c r="C232" s="109">
        <v>427257.21870000003</v>
      </c>
      <c r="D232" s="109">
        <v>4583412.6368000004</v>
      </c>
      <c r="E232" s="5">
        <v>50.026200000000003</v>
      </c>
      <c r="F232" s="122">
        <f>C232-$C$214</f>
        <v>-2.0672223763540387E-4</v>
      </c>
      <c r="G232" s="123">
        <f>D232-$C$215</f>
        <v>1.7298199236392975E-4</v>
      </c>
    </row>
    <row r="233" spans="2:7" x14ac:dyDescent="0.3">
      <c r="B233" s="107" t="s">
        <v>20</v>
      </c>
      <c r="C233" s="109">
        <v>427271.14939999999</v>
      </c>
      <c r="D233" s="109">
        <v>4583401.0164999999</v>
      </c>
      <c r="E233" s="5">
        <v>50.046399999999998</v>
      </c>
      <c r="F233" s="122">
        <f>C233-$C$216</f>
        <v>-6.1191339045763016E-4</v>
      </c>
      <c r="G233" s="123">
        <f>D233-$C$217</f>
        <v>5.7065766304731369E-4</v>
      </c>
    </row>
    <row r="234" spans="2:7" x14ac:dyDescent="0.3">
      <c r="B234" s="108" t="s">
        <v>21</v>
      </c>
      <c r="C234" s="109">
        <v>427273.0968</v>
      </c>
      <c r="D234" s="109">
        <v>4583409.9256999996</v>
      </c>
      <c r="E234" s="5">
        <v>50.1342</v>
      </c>
      <c r="F234" s="122">
        <f>C234-$C$218</f>
        <v>-7.4348418274894357E-4</v>
      </c>
      <c r="G234" s="123">
        <f>D234-$C$219</f>
        <v>1.9500125199556351E-4</v>
      </c>
    </row>
    <row r="235" spans="2:7" ht="15" thickBot="1" x14ac:dyDescent="0.35">
      <c r="B235" s="27" t="s">
        <v>22</v>
      </c>
      <c r="C235" s="109">
        <v>427253.6373</v>
      </c>
      <c r="D235" s="109">
        <v>4583402.4391999999</v>
      </c>
      <c r="E235" s="5">
        <v>52.2273</v>
      </c>
      <c r="F235" s="124">
        <f>C235-$C$220</f>
        <v>-3.7389749195426702E-5</v>
      </c>
      <c r="G235" s="125">
        <f>D235-$C$221</f>
        <v>5.2994675934314728E-4</v>
      </c>
    </row>
  </sheetData>
  <phoneticPr fontId="1" type="noConversion"/>
  <pageMargins left="0.7" right="0.7" top="0.75" bottom="0.75" header="0.3" footer="0.3"/>
  <pageSetup paperSize="9" orientation="portrait" horizontalDpi="1200" verticalDpi="1200" r:id="rId1"/>
  <drawing r:id="rId2"/>
  <legacyDrawing r:id="rId3"/>
</worksheet>
</file>

<file path=docMetadata/LabelInfo.xml><?xml version="1.0" encoding="utf-8"?>
<clbl:labelList xmlns:clbl="http://schemas.microsoft.com/office/2020/mipLabelMetadata">
  <clbl:label id="{35fc9766-ae04-4cb0-889f-359d312f8c35}" enabled="0" method="" siteId="{35fc9766-ae04-4cb0-889f-359d312f8c3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Planimetría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Rodríguez Bravo, Adrián</dc:creator>
  <cp:lastModifiedBy>Pou Peña, Guillermo</cp:lastModifiedBy>
  <dcterms:created xsi:type="dcterms:W3CDTF">2025-11-25T10:53:52Z</dcterms:created>
  <dcterms:modified xsi:type="dcterms:W3CDTF">2026-08-27T00:00:38Z</dcterms:modified>
</cp:coreProperties>
</file>