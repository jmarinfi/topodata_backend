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sice0-my.sharepoint.com/personal/gpou_ofiteco_com/Documents/Programas/Ajuste de observaciones OFITECO/"/>
    </mc:Choice>
  </mc:AlternateContent>
  <xr:revisionPtr revIDLastSave="114" documentId="8_{E3B7DE76-6C42-43DF-9BA9-8705B1D30905}" xr6:coauthVersionLast="47" xr6:coauthVersionMax="47" xr10:uidLastSave="{6A6CEDE7-D9EB-49DF-A47F-5219F9E1CBCA}"/>
  <bookViews>
    <workbookView xWindow="-108" yWindow="-108" windowWidth="23256" windowHeight="12456" xr2:uid="{55901409-FE48-4B62-BED5-462D43EC8893}"/>
  </bookViews>
  <sheets>
    <sheet name="Cálculo parámetros" sheetId="1" r:id="rId1"/>
  </sheets>
  <definedNames>
    <definedName name="_xlnm._FilterDatabase" localSheetId="0" hidden="1">'Cálculo parámetros'!$A$9:$R$20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1" l="1"/>
  <c r="N10" i="1"/>
  <c r="F10" i="1" l="1"/>
  <c r="M6" i="1" l="1"/>
  <c r="N17" i="1" s="1"/>
  <c r="G6" i="1"/>
  <c r="M5" i="1" s="1"/>
  <c r="N19" i="1" l="1"/>
  <c r="N20" i="1"/>
  <c r="N18" i="1"/>
  <c r="N15" i="1"/>
  <c r="N16" i="1"/>
  <c r="N14" i="1"/>
  <c r="N13" i="1"/>
  <c r="N12" i="1"/>
  <c r="N11" i="1"/>
  <c r="G5" i="1" l="1"/>
  <c r="F11" i="1"/>
  <c r="G11" i="1"/>
  <c r="F12" i="1"/>
  <c r="G12" i="1"/>
  <c r="F13" i="1"/>
  <c r="G13" i="1"/>
  <c r="F14" i="1"/>
  <c r="G14" i="1"/>
  <c r="F15" i="1"/>
  <c r="G15" i="1"/>
  <c r="F16" i="1"/>
  <c r="G16" i="1"/>
  <c r="F17" i="1"/>
  <c r="G17" i="1"/>
  <c r="F18" i="1"/>
  <c r="G18" i="1"/>
  <c r="F19" i="1"/>
  <c r="G19" i="1"/>
  <c r="F20" i="1"/>
  <c r="G20" i="1"/>
  <c r="G10" i="1"/>
  <c r="J10" i="1" s="1"/>
  <c r="P10" i="1" s="1"/>
  <c r="J17" i="1" l="1"/>
  <c r="P17" i="1" s="1"/>
  <c r="J13" i="1"/>
  <c r="P13" i="1" s="1"/>
  <c r="J16" i="1"/>
  <c r="P16" i="1" s="1"/>
  <c r="J15" i="1"/>
  <c r="P15" i="1" s="1"/>
  <c r="J20" i="1"/>
  <c r="P20" i="1" s="1"/>
  <c r="J11" i="1"/>
  <c r="P11" i="1" s="1"/>
  <c r="J12" i="1"/>
  <c r="P12" i="1" s="1"/>
  <c r="J19" i="1"/>
  <c r="P19" i="1" s="1"/>
  <c r="J18" i="1"/>
  <c r="P18" i="1" s="1"/>
  <c r="J14" i="1"/>
  <c r="P14" i="1" s="1"/>
  <c r="H19" i="1"/>
  <c r="I19" i="1" s="1"/>
  <c r="H18" i="1"/>
  <c r="I18" i="1" s="1"/>
  <c r="H11" i="1"/>
  <c r="I11" i="1" s="1"/>
  <c r="H10" i="1"/>
  <c r="I10" i="1" s="1"/>
  <c r="H13" i="1"/>
  <c r="I13" i="1" s="1"/>
  <c r="H12" i="1"/>
  <c r="I12" i="1" s="1"/>
  <c r="H16" i="1"/>
  <c r="I16" i="1" s="1"/>
  <c r="H15" i="1"/>
  <c r="I15" i="1" s="1"/>
  <c r="H17" i="1"/>
  <c r="I17" i="1" s="1"/>
  <c r="H14" i="1"/>
  <c r="I14" i="1" s="1"/>
  <c r="H20" i="1"/>
  <c r="I20" i="1" s="1"/>
  <c r="M3" i="1"/>
  <c r="O14" i="1" l="1"/>
  <c r="O17" i="1"/>
  <c r="O15" i="1"/>
  <c r="O16" i="1"/>
  <c r="O12" i="1"/>
  <c r="O13" i="1"/>
  <c r="O19" i="1"/>
  <c r="O18" i="1"/>
  <c r="O20" i="1"/>
  <c r="O11" i="1"/>
  <c r="G7" i="1"/>
  <c r="M18" i="1" l="1"/>
  <c r="M19" i="1"/>
  <c r="M20" i="1"/>
  <c r="M14" i="1"/>
  <c r="M12" i="1"/>
  <c r="M17" i="1"/>
  <c r="M10" i="1"/>
  <c r="M16" i="1"/>
  <c r="M13" i="1"/>
  <c r="M11" i="1"/>
  <c r="M15" i="1"/>
  <c r="G3" i="1"/>
  <c r="G4" i="1" l="1"/>
  <c r="R10" i="1" s="1"/>
  <c r="R16" i="1" l="1"/>
  <c r="R19" i="1"/>
  <c r="R12" i="1"/>
  <c r="R11" i="1"/>
  <c r="R15" i="1"/>
  <c r="R18" i="1"/>
  <c r="R17" i="1"/>
  <c r="R13" i="1"/>
  <c r="R20" i="1"/>
  <c r="R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tc={55FB3767-EDA2-4B14-A126-C611E2B3E671}</author>
    <author>tc={4162A147-4094-452D-8042-EE982556861B}</author>
    <author>tc={3C88EE92-DF8C-4C5F-9A50-7F3CDBFB9127}</author>
    <author>tc={B5AF9BEB-926B-4A0D-9090-567FA91FEE67}</author>
    <author>tc={4D2B1557-3618-43C4-A9AD-F281C549ED09}</author>
    <author>tc={A20A0E7F-452A-4B8E-852F-8DD8442801A3}</author>
    <author>tc={CEE62389-2412-44C1-8F54-12F49C0C913F}</author>
    <author>tc={A6FEE428-F5CB-4CF9-B6D9-D27D412E4334}</author>
    <author>tc={54E977CD-ACC4-450F-9981-D8751FA28A26}</author>
    <author>tc={BA9FA7E6-328E-4C1D-B0F3-A087FED973ED}</author>
    <author>tc={F3E3B5F1-F29A-4902-8284-D1C0829D2AA6}</author>
  </authors>
  <commentList>
    <comment ref="F3" authorId="0" shapeId="0" xr:uid="{55FB3767-EDA2-4B14-A126-C611E2B3E671}">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centesimales (gones) a ángulos radianes.</t>
      </text>
    </comment>
    <comment ref="F5" authorId="1" shapeId="0" xr:uid="{4162A147-4094-452D-8042-EE982556861B}">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radianes a ángulos centesimales (gon).</t>
      </text>
    </comment>
    <comment ref="F6" authorId="2" shapeId="0" xr:uid="{3C88EE92-DF8C-4C5F-9A50-7F3CDBFB9127}">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segundos de ángulos sexagesimales (‘’) a segundos de ángulos centesimales (cc)</t>
      </text>
    </comment>
    <comment ref="L6" authorId="3" shapeId="0" xr:uid="{B5AF9BEB-926B-4A0D-9090-567FA91FEE67}">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error del distanciómetro se compone de una parte fija y otra proporcional a la distancia. Si según el fabricante la precisión es 0.8 mm + 1 ppm (parte por millón), estos serán los errores en función de la distancia:
1 m: error de 0.8 mm
1000 m: error de 1.8 mm
2000 m: error de 2.8 mm</t>
      </text>
    </comment>
    <comment ref="F7" authorId="4" shapeId="0" xr:uid="{4D2B1557-3618-43C4-A9AD-F281C549ED09}">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radianes a segundos de ángulos centesimales (cc).</t>
      </text>
    </comment>
    <comment ref="A9" authorId="5" shapeId="0" xr:uid="{A20A0E7F-452A-4B8E-852F-8DD8442801A3}">
      <text>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se calculan los puntos de control. Las referencias se calcularán más adelante.</t>
      </text>
    </comment>
    <comment ref="D9" authorId="6" shapeId="0" xr:uid="{CEE62389-2412-44C1-8F54-12F49C0C91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el error con el que se posiciona el prisma en el punto de medición. En auscultación este error debería ser 0, porque los prismas están atornillados siempre en la misma posición. De todas formas, vamos a introducir la variable porque en algún caso se podría utilizar. </t>
      </text>
    </comment>
    <comment ref="E9" authorId="7" shapeId="0" xr:uid="{A6FEE428-F5CB-4CF9-B6D9-D27D412E4334}">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siempre es constante. Depende del teodolito, del tipo de prisma/diana y, si la puntería es manual, también depende del topógrafo.</t>
      </text>
    </comment>
    <comment ref="K9" authorId="8" shapeId="0" xr:uid="{54E977CD-ACC4-450F-9981-D8751FA28A2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obtienen del cálculo de Coordenadas aproximadas</t>
      </text>
    </comment>
    <comment ref="L9" authorId="9" shapeId="0" xr:uid="{BA9FA7E6-328E-4C1D-B0F3-A087FED973ED}">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 del cálculo de distancias reducidas.</t>
      </text>
    </comment>
    <comment ref="Q9" authorId="10" shapeId="0" xr:uid="{F3E3B5F1-F29A-4902-8284-D1C0829D2AA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 del cálculo de distancias reducidas.</t>
      </text>
    </comment>
  </commentList>
</comments>
</file>

<file path=xl/sharedStrings.xml><?xml version="1.0" encoding="utf-8"?>
<sst xmlns="http://schemas.openxmlformats.org/spreadsheetml/2006/main" count="47" uniqueCount="46">
  <si>
    <t>Punto Visado</t>
  </si>
  <si>
    <t>C56-058-014-20</t>
  </si>
  <si>
    <t>C56-058-024-10</t>
  </si>
  <si>
    <t>C56-058-024-20</t>
  </si>
  <si>
    <t>C56-058-024-22</t>
  </si>
  <si>
    <t>C56-058-027-20</t>
  </si>
  <si>
    <t>C56-059-003-20</t>
  </si>
  <si>
    <t>C56-059-003-22</t>
  </si>
  <si>
    <t>C56-059-003-24</t>
  </si>
  <si>
    <t>C56-059-009-20</t>
  </si>
  <si>
    <t>C56-059-009-22</t>
  </si>
  <si>
    <t>C56-059-009-24</t>
  </si>
  <si>
    <t>gon_r (adimensional)</t>
  </si>
  <si>
    <t>Radio Tierra (m)</t>
  </si>
  <si>
    <r>
      <t xml:space="preserve">K </t>
    </r>
    <r>
      <rPr>
        <vertAlign val="subscript"/>
        <sz val="14"/>
        <color theme="1"/>
        <rFont val="Aptos Narrow"/>
        <family val="2"/>
        <scheme val="minor"/>
      </rPr>
      <t>UTM</t>
    </r>
  </si>
  <si>
    <t>Kt (coeficiente de refracción)</t>
  </si>
  <si>
    <t xml:space="preserve">           Constantes para toda la App</t>
  </si>
  <si>
    <r>
      <t>Z</t>
    </r>
    <r>
      <rPr>
        <vertAlign val="subscript"/>
        <sz val="14"/>
        <color theme="1"/>
        <rFont val="Aptos Narrow"/>
        <family val="2"/>
        <scheme val="minor"/>
      </rPr>
      <t xml:space="preserve"> Estación total</t>
    </r>
  </si>
  <si>
    <t>σAH(m)</t>
  </si>
  <si>
    <t>x (m)</t>
  </si>
  <si>
    <t>y (m)</t>
  </si>
  <si>
    <t>ΔX(m)</t>
  </si>
  <si>
    <t>ΔY(m)</t>
  </si>
  <si>
    <r>
      <t>X</t>
    </r>
    <r>
      <rPr>
        <vertAlign val="subscript"/>
        <sz val="14"/>
        <color theme="1"/>
        <rFont val="Aptos Narrow"/>
        <family val="2"/>
        <scheme val="minor"/>
      </rPr>
      <t xml:space="preserve"> Estación total</t>
    </r>
  </si>
  <si>
    <r>
      <t>Y</t>
    </r>
    <r>
      <rPr>
        <vertAlign val="subscript"/>
        <sz val="14"/>
        <color theme="1"/>
        <rFont val="Aptos Narrow"/>
        <family val="2"/>
        <scheme val="minor"/>
      </rPr>
      <t xml:space="preserve"> Estación total</t>
    </r>
  </si>
  <si>
    <t>r_gon (adimensional)</t>
  </si>
  <si>
    <t>Distancia UTM (m)</t>
  </si>
  <si>
    <t>r_cc (cc)</t>
  </si>
  <si>
    <t>s-sexa_cc (adimensional)</t>
  </si>
  <si>
    <t>ppm</t>
  </si>
  <si>
    <t>mm ±</t>
  </si>
  <si>
    <t>Acimut calculado (gon)</t>
  </si>
  <si>
    <t>Desorientación del estacioanmiento (ε) (gon)</t>
  </si>
  <si>
    <t>Acimut observado (gon)</t>
  </si>
  <si>
    <t>Acimut calculado signo corregido (gon)</t>
  </si>
  <si>
    <t>Distancia calculada (m)</t>
  </si>
  <si>
    <t>Distancia reducida a la cuerda del elipsoide (m)</t>
  </si>
  <si>
    <t>Precisión angular horizontal total (cc)</t>
  </si>
  <si>
    <t>Precisión total en distancia (m)</t>
  </si>
  <si>
    <t>Δ Acimuts (cc)</t>
  </si>
  <si>
    <t>Δ Distancias (m)</t>
  </si>
  <si>
    <t>Precisión de señal (m)</t>
  </si>
  <si>
    <t>Precisión de puntería (cc)</t>
  </si>
  <si>
    <t>Precisión angular teodolito (cc)</t>
  </si>
  <si>
    <t>Precisión distanciómetro (mm + ppm)</t>
  </si>
  <si>
    <t xml:space="preserve">        Variables de cada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</si>
</sst>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00000"/>
    <numFmt numFmtId="167" formatCode="0.0000"/>
  </numFmts>
  <fonts count="6" x14ac:knownFonts="1">
    <font>
      <sz val="11"/>
      <color theme="1"/>
      <name val="Aptos Narrow"/>
      <family val="2"/>
      <scheme val="minor"/>
    </font>
    <font>
      <sz val="8"/>
      <name val="Aptos Narrow"/>
      <family val="2"/>
      <scheme val="minor"/>
    </font>
    <font>
      <sz val="14"/>
      <color theme="1"/>
      <name val="Aptos Narrow"/>
      <family val="2"/>
      <scheme val="minor"/>
    </font>
    <font>
      <vertAlign val="subscript"/>
      <sz val="14"/>
      <color theme="1"/>
      <name val="Aptos Narrow"/>
      <family val="2"/>
      <scheme val="minor"/>
    </font>
    <font>
      <sz val="11"/>
      <color theme="1"/>
      <name val="Aptos Narrow"/>
      <family val="2"/>
    </font>
    <font>
      <sz val="11"/>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rgb="FFE59EDD"/>
        <bgColor indexed="64"/>
      </patternFill>
    </fill>
    <fill>
      <patternFill patternType="solid">
        <fgColor rgb="FF92D050"/>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0">
    <xf numFmtId="0" fontId="0" fillId="0" borderId="0" xfId="0"/>
    <xf numFmtId="0" fontId="0" fillId="0" borderId="0" xfId="0" applyAlignment="1">
      <alignment wrapText="1"/>
    </xf>
    <xf numFmtId="22" fontId="0" fillId="0" borderId="0" xfId="0" applyNumberFormat="1"/>
    <xf numFmtId="166" fontId="0" fillId="0" borderId="0" xfId="0" applyNumberFormat="1"/>
    <xf numFmtId="0" fontId="0" fillId="0" borderId="2" xfId="0" applyBorder="1"/>
    <xf numFmtId="0" fontId="0" fillId="3" borderId="1" xfId="0" applyFill="1" applyBorder="1"/>
    <xf numFmtId="0" fontId="0" fillId="4" borderId="3" xfId="0" applyFill="1" applyBorder="1"/>
    <xf numFmtId="164" fontId="0" fillId="0" borderId="1" xfId="0" applyNumberFormat="1" applyBorder="1" applyAlignment="1">
      <alignment horizontal="center"/>
    </xf>
    <xf numFmtId="0" fontId="2" fillId="0" borderId="2" xfId="0" applyFont="1" applyBorder="1"/>
    <xf numFmtId="0" fontId="2" fillId="0" borderId="5" xfId="0" applyFont="1" applyBorder="1"/>
    <xf numFmtId="165" fontId="0" fillId="2" borderId="6" xfId="0" applyNumberFormat="1" applyFill="1" applyBorder="1"/>
    <xf numFmtId="0" fontId="0" fillId="2" borderId="3" xfId="0" applyFill="1" applyBorder="1"/>
    <xf numFmtId="2" fontId="0" fillId="3" borderId="4" xfId="0" applyNumberFormat="1" applyFill="1" applyBorder="1"/>
    <xf numFmtId="2" fontId="0" fillId="3" borderId="8" xfId="0" applyNumberFormat="1" applyFill="1" applyBorder="1"/>
    <xf numFmtId="0" fontId="0" fillId="4" borderId="4" xfId="0" applyFill="1" applyBorder="1"/>
    <xf numFmtId="0" fontId="0" fillId="4" borderId="10" xfId="0" applyFill="1" applyBorder="1"/>
    <xf numFmtId="0" fontId="0" fillId="4" borderId="9" xfId="0" applyFill="1" applyBorder="1"/>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wrapText="1"/>
    </xf>
    <xf numFmtId="165" fontId="0" fillId="3" borderId="1" xfId="0" applyNumberFormat="1" applyFill="1" applyBorder="1"/>
    <xf numFmtId="164" fontId="4" fillId="5" borderId="1" xfId="0" applyNumberFormat="1" applyFont="1" applyFill="1" applyBorder="1" applyAlignment="1">
      <alignment horizontal="center"/>
    </xf>
    <xf numFmtId="2" fontId="0" fillId="3" borderId="1" xfId="0" applyNumberFormat="1" applyFill="1" applyBorder="1"/>
    <xf numFmtId="2" fontId="0" fillId="3" borderId="3" xfId="0" applyNumberFormat="1" applyFill="1" applyBorder="1"/>
    <xf numFmtId="2" fontId="0" fillId="3" borderId="12" xfId="0" applyNumberFormat="1" applyFill="1" applyBorder="1"/>
    <xf numFmtId="0" fontId="0" fillId="0" borderId="11" xfId="0" applyBorder="1"/>
    <xf numFmtId="0" fontId="5" fillId="0" borderId="2" xfId="0" applyFont="1" applyBorder="1" applyAlignment="1">
      <alignment wrapText="1"/>
    </xf>
    <xf numFmtId="0" fontId="5" fillId="2" borderId="3" xfId="0" applyFont="1" applyFill="1" applyBorder="1"/>
    <xf numFmtId="164" fontId="0" fillId="3" borderId="1" xfId="0" applyNumberFormat="1" applyFill="1" applyBorder="1"/>
    <xf numFmtId="167" fontId="0" fillId="0" borderId="1" xfId="0" applyNumberFormat="1" applyBorder="1"/>
    <xf numFmtId="0" fontId="0" fillId="2" borderId="1" xfId="0" applyFill="1" applyBorder="1"/>
    <xf numFmtId="0" fontId="0" fillId="0" borderId="1" xfId="0" applyFill="1" applyBorder="1" applyAlignment="1">
      <alignment wrapText="1"/>
    </xf>
    <xf numFmtId="0" fontId="0" fillId="0" borderId="2" xfId="0" applyFill="1" applyBorder="1" applyAlignment="1">
      <alignment wrapText="1"/>
    </xf>
    <xf numFmtId="0" fontId="4" fillId="0" borderId="2" xfId="0" applyFont="1" applyFill="1" applyBorder="1" applyAlignment="1">
      <alignment wrapText="1"/>
    </xf>
    <xf numFmtId="0" fontId="0" fillId="0" borderId="1" xfId="0" applyFill="1" applyBorder="1" applyAlignment="1">
      <alignment horizontal="center" wrapText="1"/>
    </xf>
    <xf numFmtId="164" fontId="0" fillId="2" borderId="1" xfId="0" applyNumberFormat="1" applyFill="1" applyBorder="1" applyAlignment="1">
      <alignment horizontal="center"/>
    </xf>
    <xf numFmtId="0" fontId="5" fillId="0" borderId="1" xfId="0" applyFont="1" applyFill="1" applyBorder="1" applyAlignment="1">
      <alignment horizontal="center" wrapText="1"/>
    </xf>
    <xf numFmtId="167" fontId="0" fillId="2" borderId="1" xfId="0" applyNumberFormat="1" applyFill="1" applyBorder="1"/>
    <xf numFmtId="0" fontId="0" fillId="0" borderId="2" xfId="0" applyBorder="1" applyAlignment="1">
      <alignment wrapText="1"/>
    </xf>
    <xf numFmtId="2" fontId="0" fillId="0" borderId="7" xfId="0" applyNumberFormat="1" applyBorder="1" applyAlignment="1">
      <alignment wrapText="1"/>
    </xf>
    <xf numFmtId="2" fontId="0" fillId="0" borderId="2" xfId="0" applyNumberFormat="1" applyBorder="1" applyAlignment="1">
      <alignment wrapText="1"/>
    </xf>
    <xf numFmtId="0" fontId="4" fillId="0" borderId="2" xfId="0" applyFont="1" applyBorder="1" applyAlignment="1">
      <alignment wrapText="1"/>
    </xf>
    <xf numFmtId="22" fontId="0" fillId="0" borderId="7" xfId="0" applyNumberFormat="1" applyBorder="1" applyAlignment="1">
      <alignment wrapText="1"/>
    </xf>
    <xf numFmtId="165" fontId="0" fillId="2" borderId="1" xfId="0" applyNumberFormat="1" applyFill="1" applyBorder="1"/>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0" fontId="4" fillId="0" borderId="1" xfId="0" applyFont="1" applyFill="1" applyBorder="1" applyAlignment="1">
      <alignment horizontal="center" wrapText="1"/>
    </xf>
    <xf numFmtId="0" fontId="0" fillId="0" borderId="1" xfId="0" applyFont="1" applyFill="1" applyBorder="1" applyAlignment="1">
      <alignment horizontal="center" wrapText="1"/>
    </xf>
    <xf numFmtId="0" fontId="0" fillId="0" borderId="1" xfId="0" applyFont="1" applyFill="1" applyBorder="1" applyAlignment="1">
      <alignment horizontal="center"/>
    </xf>
    <xf numFmtId="164" fontId="0" fillId="2" borderId="3" xfId="0" applyNumberFormat="1" applyFill="1" applyBorder="1"/>
  </cellXfs>
  <cellStyles count="1">
    <cellStyle name="Normal" xfId="0" builtinId="0"/>
  </cellStyles>
  <dxfs count="0"/>
  <tableStyles count="0" defaultTableStyle="TableStyleMedium2" defaultPivotStyle="PivotStyleLight16"/>
  <colors>
    <mruColors>
      <color rgb="FFE59EDD"/>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ou Peña, Guillermo" id="{DB3B072B-77EB-4CBB-B34A-191E50B9A364}" userId="S::gpou@ofiteco.com::b6e8f51f-6c67-42f8-935b-adeb13ebe17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 dT="2026-02-02T22:35:32.43" personId="{DB3B072B-77EB-4CBB-B34A-191E50B9A364}" id="{55FB3767-EDA2-4B14-A126-C611E2B3E671}">
    <text>Pasa de ángulos centesimales (gones) a ángulos radianes.</text>
  </threadedComment>
  <threadedComment ref="F5" dT="2026-02-04T22:18:50.89" personId="{DB3B072B-77EB-4CBB-B34A-191E50B9A364}" id="{4162A147-4094-452D-8042-EE982556861B}">
    <text>Pasa de ángulos radianes a ángulos centesimales (gon).</text>
  </threadedComment>
  <threadedComment ref="F6" dT="2026-02-23T15:13:48.75" personId="{DB3B072B-77EB-4CBB-B34A-191E50B9A364}" id="{3C88EE92-DF8C-4C5F-9A50-7F3CDBFB9127}">
    <text>Pasa de segundos de ángulos sexagesimales (‘’) a segundos de ángulos centesimales (cc)</text>
  </threadedComment>
  <threadedComment ref="L6" dT="2026-02-23T16:57:33.17" personId="{DB3B072B-77EB-4CBB-B34A-191E50B9A364}" id="{B5AF9BEB-926B-4A0D-9090-567FA91FEE67}">
    <text>El error del distanciómetro se compone de una parte fija y otra proporcional a la distancia. Si según el fabricante la precisión es 0.8 mm + 1 ppm (parte por millón), estos serán los errores en función de la distancia:
1 m: error de 0.8 mm
1000 m: error de 1.8 mm
2000 m: error de 2.8 mm</text>
  </threadedComment>
  <threadedComment ref="F7" dT="2026-02-02T22:35:32.43" personId="{DB3B072B-77EB-4CBB-B34A-191E50B9A364}" id="{4D2B1557-3618-43C4-A9AD-F281C549ED09}">
    <text>Pasa de ángulos radianes a segundos de ángulos centesimales (cc).</text>
  </threadedComment>
  <threadedComment ref="A9" dT="2026-02-04T23:06:24.71" personId="{DB3B072B-77EB-4CBB-B34A-191E50B9A364}" id="{A20A0E7F-452A-4B8E-852F-8DD8442801A3}">
    <text>Solamente se calculan los puntos de control. Las referencias se calcularán más adelante.</text>
  </threadedComment>
  <threadedComment ref="D9" dT="2026-02-23T16:32:31.36" personId="{DB3B072B-77EB-4CBB-B34A-191E50B9A364}" id="{CEE62389-2412-44C1-8F54-12F49C0C913F}">
    <text xml:space="preserve">Es el error con el que se posiciona el prisma en el punto de medición. En auscultación este error debería ser 0, porque los prismas están atornillados siempre en la misma posición. De todas formas, vamos a introducir la variable porque en algún caso se podría utilizar. </text>
  </threadedComment>
  <threadedComment ref="E9" dT="2026-02-23T17:25:33.07" personId="{DB3B072B-77EB-4CBB-B34A-191E50B9A364}" id="{A6FEE428-F5CB-4CF9-B6D9-D27D412E4334}">
    <text>No siempre es constante. Depende del teodolito, del tipo de prisma/diana y, si la puntería es manual, también depende del topógrafo.</text>
  </threadedComment>
  <threadedComment ref="K9" dT="2026-02-23T19:38:22.39" personId="{DB3B072B-77EB-4CBB-B34A-191E50B9A364}" id="{54E977CD-ACC4-450F-9981-D8751FA28A26}">
    <text>Se obtienen del cálculo de Coordenadas aproximadas</text>
  </threadedComment>
  <threadedComment ref="L9" dT="2026-02-23T20:15:55.85" personId="{DB3B072B-77EB-4CBB-B34A-191E50B9A364}" id="{BA9FA7E6-328E-4C1D-B0F3-A087FED973ED}">
    <text>Se obtiene del cálculo de distancias reducidas.</text>
  </threadedComment>
  <threadedComment ref="Q9" dT="2026-02-23T20:17:15.12" personId="{DB3B072B-77EB-4CBB-B34A-191E50B9A364}" id="{F3E3B5F1-F29A-4902-8284-D1C0829D2AA6}">
    <text>Se obtiene del cálculo de distancias reducidas.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BC45-D4E4-4D57-83C2-37C777479C7F}">
  <dimension ref="A1:R21"/>
  <sheetViews>
    <sheetView tabSelected="1" zoomScale="85" zoomScaleNormal="85" workbookViewId="0">
      <selection activeCell="S4" sqref="S4"/>
    </sheetView>
  </sheetViews>
  <sheetFormatPr baseColWidth="10" defaultRowHeight="14.4" x14ac:dyDescent="0.3"/>
  <cols>
    <col min="1" max="1" width="14.6640625" bestFit="1" customWidth="1"/>
    <col min="2" max="2" width="10.77734375" bestFit="1" customWidth="1"/>
    <col min="3" max="3" width="11.88671875" bestFit="1" customWidth="1"/>
    <col min="4" max="4" width="9.33203125" customWidth="1"/>
    <col min="5" max="5" width="9" customWidth="1"/>
    <col min="6" max="6" width="16.6640625" customWidth="1"/>
    <col min="7" max="7" width="13.6640625" bestFit="1" customWidth="1"/>
    <col min="8" max="8" width="10.6640625" customWidth="1"/>
    <col min="9" max="9" width="17.21875" customWidth="1"/>
    <col min="10" max="10" width="10.88671875" customWidth="1"/>
    <col min="11" max="11" width="10.6640625" customWidth="1"/>
    <col min="12" max="12" width="17.6640625" customWidth="1"/>
    <col min="13" max="13" width="10" customWidth="1"/>
    <col min="14" max="14" width="9.44140625" customWidth="1"/>
    <col min="15" max="15" width="8.6640625" customWidth="1"/>
    <col min="16" max="16" width="10.77734375" customWidth="1"/>
    <col min="17" max="17" width="17.44140625" bestFit="1" customWidth="1"/>
    <col min="18" max="18" width="7.5546875" bestFit="1" customWidth="1"/>
    <col min="35" max="35" width="19.33203125" customWidth="1"/>
    <col min="39" max="39" width="19.88671875" customWidth="1"/>
  </cols>
  <sheetData>
    <row r="1" spans="1:18" ht="15" thickBot="1" x14ac:dyDescent="0.35">
      <c r="M1" s="25"/>
    </row>
    <row r="2" spans="1:18" ht="21" thickBot="1" x14ac:dyDescent="0.5">
      <c r="F2" s="15" t="s">
        <v>16</v>
      </c>
      <c r="G2" s="16"/>
      <c r="I2" s="8" t="s">
        <v>23</v>
      </c>
      <c r="J2" s="49">
        <v>428254.86437999998</v>
      </c>
      <c r="L2" s="13" t="s">
        <v>45</v>
      </c>
      <c r="M2" s="24"/>
    </row>
    <row r="3" spans="1:18" ht="32.4" customHeight="1" x14ac:dyDescent="0.45">
      <c r="F3" s="42" t="s">
        <v>12</v>
      </c>
      <c r="G3" s="14">
        <f>PI()/200</f>
        <v>1.5707963267948967E-2</v>
      </c>
      <c r="I3" s="8" t="s">
        <v>24</v>
      </c>
      <c r="J3" s="49">
        <v>4584084.2900099996</v>
      </c>
      <c r="K3" s="3"/>
      <c r="L3" s="39" t="s">
        <v>15</v>
      </c>
      <c r="M3" s="12">
        <f>0.13</f>
        <v>0.13</v>
      </c>
    </row>
    <row r="4" spans="1:18" ht="30.6" x14ac:dyDescent="0.45">
      <c r="F4" s="4" t="s">
        <v>13</v>
      </c>
      <c r="G4" s="6">
        <f>6378000</f>
        <v>6378000</v>
      </c>
      <c r="I4" s="9" t="s">
        <v>17</v>
      </c>
      <c r="J4" s="10">
        <v>49.898617372443816</v>
      </c>
      <c r="K4" s="3"/>
      <c r="L4" s="39" t="s">
        <v>43</v>
      </c>
      <c r="M4" s="23">
        <v>0.5</v>
      </c>
    </row>
    <row r="5" spans="1:18" ht="37.799999999999997" customHeight="1" x14ac:dyDescent="0.45">
      <c r="F5" s="38" t="s">
        <v>25</v>
      </c>
      <c r="G5" s="6">
        <f>200/PI()</f>
        <v>63.661977236758133</v>
      </c>
      <c r="I5" s="8" t="s">
        <v>14</v>
      </c>
      <c r="J5" s="11">
        <v>0.99966334542276292</v>
      </c>
      <c r="K5" s="3"/>
      <c r="L5" s="40" t="s">
        <v>43</v>
      </c>
      <c r="M5" s="23">
        <f>M4*G6</f>
        <v>1.5432098765432098</v>
      </c>
    </row>
    <row r="6" spans="1:18" ht="43.2" x14ac:dyDescent="0.3">
      <c r="F6" s="19" t="s">
        <v>28</v>
      </c>
      <c r="G6" s="6">
        <f>250/81</f>
        <v>3.0864197530864197</v>
      </c>
      <c r="I6" s="26" t="s">
        <v>32</v>
      </c>
      <c r="J6" s="27">
        <v>235.33841324540853</v>
      </c>
      <c r="K6" s="3"/>
      <c r="L6" s="41" t="s">
        <v>44</v>
      </c>
      <c r="M6" s="23">
        <f>0.8</f>
        <v>0.8</v>
      </c>
      <c r="N6" s="23" t="s">
        <v>30</v>
      </c>
      <c r="O6" s="22">
        <v>1</v>
      </c>
      <c r="P6" s="22" t="s">
        <v>29</v>
      </c>
    </row>
    <row r="7" spans="1:18" x14ac:dyDescent="0.3">
      <c r="F7" s="4" t="s">
        <v>27</v>
      </c>
      <c r="G7" s="6">
        <f>2000000/PI()</f>
        <v>636619.77236758138</v>
      </c>
    </row>
    <row r="9" spans="1:18" s="1" customFormat="1" ht="57.6" x14ac:dyDescent="0.3">
      <c r="A9" s="31" t="s">
        <v>0</v>
      </c>
      <c r="B9" s="32" t="s">
        <v>19</v>
      </c>
      <c r="C9" s="31" t="s">
        <v>20</v>
      </c>
      <c r="D9" s="33" t="s">
        <v>41</v>
      </c>
      <c r="E9" s="33" t="s">
        <v>42</v>
      </c>
      <c r="F9" s="36" t="s">
        <v>21</v>
      </c>
      <c r="G9" s="36" t="s">
        <v>22</v>
      </c>
      <c r="H9" s="34" t="s">
        <v>31</v>
      </c>
      <c r="I9" s="34" t="s">
        <v>34</v>
      </c>
      <c r="J9" s="34" t="s">
        <v>35</v>
      </c>
      <c r="K9" s="34" t="s">
        <v>33</v>
      </c>
      <c r="L9" s="34" t="s">
        <v>26</v>
      </c>
      <c r="M9" s="46" t="s">
        <v>37</v>
      </c>
      <c r="N9" s="46" t="s">
        <v>38</v>
      </c>
      <c r="O9" s="47" t="s">
        <v>39</v>
      </c>
      <c r="P9" s="47" t="s">
        <v>40</v>
      </c>
      <c r="Q9" s="47" t="s">
        <v>36</v>
      </c>
      <c r="R9" s="48" t="s">
        <v>18</v>
      </c>
    </row>
    <row r="10" spans="1:18" x14ac:dyDescent="0.3">
      <c r="A10" s="5" t="s">
        <v>1</v>
      </c>
      <c r="B10" s="28">
        <v>428174.88328000001</v>
      </c>
      <c r="C10" s="28">
        <v>4584119.5064399997</v>
      </c>
      <c r="D10" s="20">
        <v>0</v>
      </c>
      <c r="E10" s="20">
        <v>3.09</v>
      </c>
      <c r="F10" s="35">
        <f>B10-$J$2</f>
        <v>-79.981099999975413</v>
      </c>
      <c r="G10" s="35">
        <f>C10-$J$3</f>
        <v>35.216430000029504</v>
      </c>
      <c r="H10" s="18">
        <f>ATAN2(G10,F10)*$G$5</f>
        <v>-73.595172578068983</v>
      </c>
      <c r="I10" s="7">
        <f>IF(H10&lt;0,H10+400,H10)</f>
        <v>326.40482742193103</v>
      </c>
      <c r="J10" s="29">
        <f t="shared" ref="J10:J20" si="0">SQRT((F10)^2+(G10)^2)</f>
        <v>87.390922292610256</v>
      </c>
      <c r="K10" s="37">
        <v>326.40501324540855</v>
      </c>
      <c r="L10" s="21">
        <v>87.390993841580823</v>
      </c>
      <c r="M10" s="43">
        <f>SQRT($M$5^2+((D10/L10)*$G$7)^2+E10^2)</f>
        <v>3.4539248288085989</v>
      </c>
      <c r="N10" s="44">
        <f>SQRT(D10^2+($M$6/1000+($O$6/1000000)*L10)^2)</f>
        <v>8.8739099384158092E-4</v>
      </c>
      <c r="O10" s="35">
        <f>(I10-K10)*10000</f>
        <v>-1.8582347752271744</v>
      </c>
      <c r="P10" s="37">
        <f>J10-L10</f>
        <v>-7.1548970566936987E-5</v>
      </c>
      <c r="Q10" s="30">
        <v>87.420424327574707</v>
      </c>
      <c r="R10" s="45">
        <f>SQRT((Q10*M10/$G$4)^2+(((0.5-$M$3)*Q10^2)/$G$4)^2)</f>
        <v>4.4586668237537702E-4</v>
      </c>
    </row>
    <row r="11" spans="1:18" x14ac:dyDescent="0.3">
      <c r="A11" s="5" t="s">
        <v>2</v>
      </c>
      <c r="B11" s="28">
        <v>428127.43255999999</v>
      </c>
      <c r="C11" s="28">
        <v>4584123.2890999997</v>
      </c>
      <c r="D11" s="20">
        <v>0</v>
      </c>
      <c r="E11" s="20">
        <v>3.09</v>
      </c>
      <c r="F11" s="35">
        <f>B11-$J$2</f>
        <v>-127.43181999999797</v>
      </c>
      <c r="G11" s="35">
        <f>C11-$J$3</f>
        <v>38.99909000005573</v>
      </c>
      <c r="H11" s="18">
        <f>ATAN2(G11,F11)*$G$5</f>
        <v>-81.093169986799268</v>
      </c>
      <c r="I11" s="7">
        <f t="shared" ref="I11:I20" si="1">IF(H11&lt;0,H11+400,H11)</f>
        <v>318.90683001320076</v>
      </c>
      <c r="J11" s="29">
        <f t="shared" si="0"/>
        <v>133.26589124507564</v>
      </c>
      <c r="K11" s="37">
        <v>318.90691324540853</v>
      </c>
      <c r="L11" s="21">
        <v>133.26546870167357</v>
      </c>
      <c r="M11" s="43">
        <f>SQRT($M$5^2+((D11/L11)*$G$7)^2+E11^2)</f>
        <v>3.4539248288085989</v>
      </c>
      <c r="N11" s="44">
        <f>SQRT(D11^2+($M$6/1000+($O$6/1000000)*L11)^2)</f>
        <v>9.3326546870167357E-4</v>
      </c>
      <c r="O11" s="35">
        <f t="shared" ref="O10:O20" si="2">(I11-K11)*10000</f>
        <v>-0.83232207771288813</v>
      </c>
      <c r="P11" s="37">
        <f t="shared" ref="P11:P20" si="3">J11-L11</f>
        <v>4.2254340206682173E-4</v>
      </c>
      <c r="Q11" s="30">
        <v>133.31034824060183</v>
      </c>
      <c r="R11" s="45">
        <f>SQRT((Q11*M11/$G$4)^2+(((0.5-$M$3)*Q11^2)/$G$4)^2)</f>
        <v>1.0334919212650734E-3</v>
      </c>
    </row>
    <row r="12" spans="1:18" x14ac:dyDescent="0.3">
      <c r="A12" s="5" t="s">
        <v>3</v>
      </c>
      <c r="B12" s="28">
        <v>428127.43706999999</v>
      </c>
      <c r="C12" s="28">
        <v>4584123.2601699997</v>
      </c>
      <c r="D12" s="20">
        <v>0</v>
      </c>
      <c r="E12" s="20">
        <v>3.09</v>
      </c>
      <c r="F12" s="35">
        <f>B12-$J$2</f>
        <v>-127.42730999999912</v>
      </c>
      <c r="G12" s="35">
        <f>C12-$J$3</f>
        <v>38.970160000026226</v>
      </c>
      <c r="H12" s="18">
        <f>ATAN2(G12,F12)*$G$5</f>
        <v>-81.105755749158817</v>
      </c>
      <c r="I12" s="7">
        <f t="shared" si="1"/>
        <v>318.89424425084121</v>
      </c>
      <c r="J12" s="29">
        <f t="shared" si="0"/>
        <v>133.25311517658236</v>
      </c>
      <c r="K12" s="37">
        <v>318.89431324540851</v>
      </c>
      <c r="L12" s="21">
        <v>133.25320717525827</v>
      </c>
      <c r="M12" s="43">
        <f>SQRT($M$5^2+((D12/L12)*$G$7)^2+E12^2)</f>
        <v>3.4539248288085989</v>
      </c>
      <c r="N12" s="44">
        <f>SQRT(D12^2+($M$6/1000+($O$6/1000000)*L12)^2)</f>
        <v>9.3325320717525828E-4</v>
      </c>
      <c r="O12" s="35">
        <f t="shared" si="2"/>
        <v>-0.68994567300251219</v>
      </c>
      <c r="P12" s="37">
        <f t="shared" si="3"/>
        <v>-9.199867591291877E-5</v>
      </c>
      <c r="Q12" s="30">
        <v>133.2980825848974</v>
      </c>
      <c r="R12" s="45">
        <f>SQRT((Q12*M12/$G$4)^2+(((0.5-$M$3)*Q12^2)/$G$4)^2)</f>
        <v>1.0333022143521205E-3</v>
      </c>
    </row>
    <row r="13" spans="1:18" x14ac:dyDescent="0.3">
      <c r="A13" s="5" t="s">
        <v>4</v>
      </c>
      <c r="B13" s="28">
        <v>428127.90756999998</v>
      </c>
      <c r="C13" s="28">
        <v>4584114.3810200002</v>
      </c>
      <c r="D13" s="20">
        <v>0</v>
      </c>
      <c r="E13" s="20">
        <v>3.09</v>
      </c>
      <c r="F13" s="35">
        <f>B13-$J$2</f>
        <v>-126.95681000000332</v>
      </c>
      <c r="G13" s="35">
        <f>C13-$J$3</f>
        <v>30.091010000556707</v>
      </c>
      <c r="H13" s="18">
        <f>ATAN2(G13,F13)*$G$5</f>
        <v>-85.184381252285689</v>
      </c>
      <c r="I13" s="7">
        <f t="shared" si="1"/>
        <v>314.81561874771432</v>
      </c>
      <c r="J13" s="29">
        <f t="shared" si="0"/>
        <v>130.47413723888175</v>
      </c>
      <c r="K13" s="37">
        <v>314.81571324540852</v>
      </c>
      <c r="L13" s="21">
        <v>130.47405227256763</v>
      </c>
      <c r="M13" s="43">
        <f>SQRT($M$5^2+((D13/L13)*$G$7)^2+E13^2)</f>
        <v>3.4539248288085989</v>
      </c>
      <c r="N13" s="44">
        <f>SQRT(D13^2+($M$6/1000+($O$6/1000000)*L13)^2)</f>
        <v>9.3047405227256771E-4</v>
      </c>
      <c r="O13" s="35">
        <f t="shared" si="2"/>
        <v>-0.94497694192341442</v>
      </c>
      <c r="P13" s="37">
        <f t="shared" si="3"/>
        <v>8.496631411958333E-5</v>
      </c>
      <c r="Q13" s="30">
        <v>130.51799175190271</v>
      </c>
      <c r="R13" s="45">
        <f>SQRT((Q13*M13/$G$4)^2+(((0.5-$M$3)*Q13^2)/$G$4)^2)</f>
        <v>9.9075424834366588E-4</v>
      </c>
    </row>
    <row r="14" spans="1:18" x14ac:dyDescent="0.3">
      <c r="A14" s="5" t="s">
        <v>5</v>
      </c>
      <c r="B14" s="28">
        <v>428150.33458999998</v>
      </c>
      <c r="C14" s="28">
        <v>4584125.8044299996</v>
      </c>
      <c r="D14" s="20">
        <v>0</v>
      </c>
      <c r="E14" s="20">
        <v>3.09</v>
      </c>
      <c r="F14" s="35">
        <f>B14-$J$2</f>
        <v>-104.5297900000005</v>
      </c>
      <c r="G14" s="35">
        <f>C14-$J$3</f>
        <v>41.514419999904931</v>
      </c>
      <c r="H14" s="18">
        <f>ATAN2(G14,F14)*$G$5</f>
        <v>-75.93255838813505</v>
      </c>
      <c r="I14" s="7">
        <f t="shared" si="1"/>
        <v>324.06744161186498</v>
      </c>
      <c r="J14" s="29">
        <f t="shared" si="0"/>
        <v>112.47188122091988</v>
      </c>
      <c r="K14" s="37">
        <v>324.06751324540852</v>
      </c>
      <c r="L14" s="21">
        <v>112.47207199101506</v>
      </c>
      <c r="M14" s="43">
        <f>SQRT($M$5^2+((D14/L14)*$G$7)^2+E14^2)</f>
        <v>3.4539248288085989</v>
      </c>
      <c r="N14" s="44">
        <f>SQRT(D14^2+($M$6/1000+($O$6/1000000)*L14)^2)</f>
        <v>9.1247207199101504E-4</v>
      </c>
      <c r="O14" s="35">
        <f t="shared" si="2"/>
        <v>-0.7163354354133844</v>
      </c>
      <c r="P14" s="37">
        <f t="shared" si="3"/>
        <v>-1.9077009517332044E-4</v>
      </c>
      <c r="Q14" s="30">
        <v>112.509948980324</v>
      </c>
      <c r="R14" s="45">
        <f>SQRT((Q14*M14/$G$4)^2+(((0.5-$M$3)*Q14^2)/$G$4)^2)</f>
        <v>7.3686644976921089E-4</v>
      </c>
    </row>
    <row r="15" spans="1:18" x14ac:dyDescent="0.3">
      <c r="A15" s="5" t="s">
        <v>6</v>
      </c>
      <c r="B15" s="28">
        <v>428219.99187000003</v>
      </c>
      <c r="C15" s="28">
        <v>4584146.9575300002</v>
      </c>
      <c r="D15" s="20">
        <v>0</v>
      </c>
      <c r="E15" s="20">
        <v>3.09</v>
      </c>
      <c r="F15" s="35">
        <f>B15-$J$2</f>
        <v>-34.872509999957401</v>
      </c>
      <c r="G15" s="35">
        <f>C15-$J$3</f>
        <v>62.667520000599325</v>
      </c>
      <c r="H15" s="18">
        <f>ATAN2(G15,F15)*$G$5</f>
        <v>-32.327295661701172</v>
      </c>
      <c r="I15" s="7">
        <f t="shared" si="1"/>
        <v>367.67270433829884</v>
      </c>
      <c r="J15" s="29">
        <f t="shared" si="0"/>
        <v>71.716874002724396</v>
      </c>
      <c r="K15" s="37">
        <v>367.67271324540854</v>
      </c>
      <c r="L15" s="21">
        <v>71.716923515223897</v>
      </c>
      <c r="M15" s="43">
        <f>SQRT($M$5^2+((D15/L15)*$G$7)^2+E15^2)</f>
        <v>3.4539248288085989</v>
      </c>
      <c r="N15" s="44">
        <f>SQRT(D15^2+($M$6/1000+($O$6/1000000)*L15)^2)</f>
        <v>8.7171692351522396E-4</v>
      </c>
      <c r="O15" s="35">
        <f t="shared" si="2"/>
        <v>-8.907109702249727E-2</v>
      </c>
      <c r="P15" s="37">
        <f t="shared" si="3"/>
        <v>-4.9512499501247476E-5</v>
      </c>
      <c r="Q15" s="30">
        <v>71.74107547665902</v>
      </c>
      <c r="R15" s="45">
        <f>SQRT((Q15*M15/$G$4)^2+(((0.5-$M$3)*Q15^2)/$G$4)^2)</f>
        <v>3.0109167733999374E-4</v>
      </c>
    </row>
    <row r="16" spans="1:18" x14ac:dyDescent="0.3">
      <c r="A16" s="5" t="s">
        <v>7</v>
      </c>
      <c r="B16" s="28">
        <v>428240.08773000003</v>
      </c>
      <c r="C16" s="28">
        <v>4584136.7684500003</v>
      </c>
      <c r="D16" s="20">
        <v>0</v>
      </c>
      <c r="E16" s="20">
        <v>3.09</v>
      </c>
      <c r="F16" s="35">
        <f>B16-$J$2</f>
        <v>-14.776649999956135</v>
      </c>
      <c r="G16" s="35">
        <f>C16-$J$3</f>
        <v>52.478440000675619</v>
      </c>
      <c r="H16" s="18">
        <f>ATAN2(G16,F16)*$G$5</f>
        <v>-17.473251277642465</v>
      </c>
      <c r="I16" s="7">
        <f t="shared" si="1"/>
        <v>382.52674872235752</v>
      </c>
      <c r="J16" s="29">
        <f t="shared" si="0"/>
        <v>54.519134715489699</v>
      </c>
      <c r="K16" s="37">
        <v>382.52681324540856</v>
      </c>
      <c r="L16" s="21">
        <v>54.519479997160019</v>
      </c>
      <c r="M16" s="43">
        <f>SQRT($M$5^2+((D16/L16)*$G$7)^2+E16^2)</f>
        <v>3.4539248288085989</v>
      </c>
      <c r="N16" s="44">
        <f>SQRT(D16^2+($M$6/1000+($O$6/1000000)*L16)^2)</f>
        <v>8.5451947999716006E-4</v>
      </c>
      <c r="O16" s="35">
        <f t="shared" si="2"/>
        <v>-0.64523051037213008</v>
      </c>
      <c r="P16" s="37">
        <f t="shared" si="3"/>
        <v>-3.4528167032021884E-4</v>
      </c>
      <c r="Q16" s="30">
        <v>54.537840410766933</v>
      </c>
      <c r="R16" s="45">
        <f>SQRT((Q16*M16/$G$4)^2+(((0.5-$M$3)*Q16^2)/$G$4)^2)</f>
        <v>1.7505861290999223E-4</v>
      </c>
    </row>
    <row r="17" spans="1:18" x14ac:dyDescent="0.3">
      <c r="A17" s="5" t="s">
        <v>8</v>
      </c>
      <c r="B17" s="28">
        <v>428253.93044999999</v>
      </c>
      <c r="C17" s="28">
        <v>4584130.4083200004</v>
      </c>
      <c r="D17" s="20">
        <v>0</v>
      </c>
      <c r="E17" s="20">
        <v>3.09</v>
      </c>
      <c r="F17" s="35">
        <f>B17-$J$2</f>
        <v>-0.93392999999923632</v>
      </c>
      <c r="G17" s="35">
        <f>C17-$J$3</f>
        <v>46.118310000747442</v>
      </c>
      <c r="H17" s="18">
        <f>ATAN2(G17,F17)*$G$5</f>
        <v>-1.289026092553925</v>
      </c>
      <c r="I17" s="7">
        <f t="shared" si="1"/>
        <v>398.71097390744609</v>
      </c>
      <c r="J17" s="29">
        <f t="shared" si="0"/>
        <v>46.127765419212977</v>
      </c>
      <c r="K17" s="37">
        <v>398.71101324540854</v>
      </c>
      <c r="L17" s="21">
        <v>46.127881294364052</v>
      </c>
      <c r="M17" s="43">
        <f>SQRT($M$5^2+((D17/L17)*$G$7)^2+E17^2)</f>
        <v>3.4539248288085989</v>
      </c>
      <c r="N17" s="44">
        <f>SQRT(D17^2+($M$6/1000+($O$6/1000000)*L17)^2)</f>
        <v>8.461278812943641E-4</v>
      </c>
      <c r="O17" s="35">
        <f t="shared" si="2"/>
        <v>-0.393379624483714</v>
      </c>
      <c r="P17" s="37">
        <f t="shared" si="3"/>
        <v>-1.1587515107436275E-4</v>
      </c>
      <c r="Q17" s="30">
        <v>46.143415686464252</v>
      </c>
      <c r="R17" s="45">
        <f>SQRT((Q17*M17/$G$4)^2+(((0.5-$M$3)*Q17^2)/$G$4)^2)</f>
        <v>1.2602209219288624E-4</v>
      </c>
    </row>
    <row r="18" spans="1:18" x14ac:dyDescent="0.3">
      <c r="A18" s="5" t="s">
        <v>9</v>
      </c>
      <c r="B18" s="28">
        <v>428272.84479</v>
      </c>
      <c r="C18" s="28">
        <v>4584095.1061899997</v>
      </c>
      <c r="D18" s="20">
        <v>0</v>
      </c>
      <c r="E18" s="20">
        <v>3.09</v>
      </c>
      <c r="F18" s="35">
        <f>B18-$J$2</f>
        <v>17.98041000001831</v>
      </c>
      <c r="G18" s="35">
        <f>C18-$J$3</f>
        <v>10.816180000081658</v>
      </c>
      <c r="H18" s="18">
        <f>ATAN2(G18,F18)*$G$5</f>
        <v>65.523152420849541</v>
      </c>
      <c r="I18" s="7">
        <f t="shared" si="1"/>
        <v>65.523152420849541</v>
      </c>
      <c r="J18" s="29">
        <f t="shared" si="0"/>
        <v>20.982966748363417</v>
      </c>
      <c r="K18" s="37">
        <v>65.523013245408492</v>
      </c>
      <c r="L18" s="21">
        <v>20.983232694707922</v>
      </c>
      <c r="M18" s="43">
        <f>SQRT($M$5^2+((D18/L18)*$G$7)^2+E18^2)</f>
        <v>3.4539248288085989</v>
      </c>
      <c r="N18" s="44">
        <f>SQRT(D18^2+($M$6/1000+($O$6/1000000)*L18)^2)</f>
        <v>8.2098323269470797E-4</v>
      </c>
      <c r="O18" s="35">
        <f t="shared" si="2"/>
        <v>1.3917544104913304</v>
      </c>
      <c r="P18" s="37">
        <f t="shared" si="3"/>
        <v>-2.6594634450560761E-4</v>
      </c>
      <c r="Q18" s="30">
        <v>20.990299175002765</v>
      </c>
      <c r="R18" s="45">
        <f>SQRT((Q18*M18/$G$4)^2+(((0.5-$M$3)*Q18^2)/$G$4)^2)</f>
        <v>2.7973268676986978E-5</v>
      </c>
    </row>
    <row r="19" spans="1:18" x14ac:dyDescent="0.3">
      <c r="A19" s="5" t="s">
        <v>10</v>
      </c>
      <c r="B19" s="28">
        <v>428276.60668999999</v>
      </c>
      <c r="C19" s="28">
        <v>4584088.0485800002</v>
      </c>
      <c r="D19" s="20">
        <v>0</v>
      </c>
      <c r="E19" s="20">
        <v>3.09</v>
      </c>
      <c r="F19" s="35">
        <f>B19-$J$2</f>
        <v>21.742310000001453</v>
      </c>
      <c r="G19" s="35">
        <f>C19-$J$3</f>
        <v>3.7585700005292892</v>
      </c>
      <c r="H19" s="18">
        <f>ATAN2(G19,F19)*$G$5</f>
        <v>89.102522158980349</v>
      </c>
      <c r="I19" s="7">
        <f t="shared" si="1"/>
        <v>89.102522158980349</v>
      </c>
      <c r="J19" s="29">
        <f t="shared" si="0"/>
        <v>22.064788523460674</v>
      </c>
      <c r="K19" s="37">
        <v>89.102513245408545</v>
      </c>
      <c r="L19" s="21">
        <v>22.065035921684515</v>
      </c>
      <c r="M19" s="43">
        <f>SQRT($M$5^2+((D19/L19)*$G$7)^2+E19^2)</f>
        <v>3.4539248288085989</v>
      </c>
      <c r="N19" s="44">
        <f>SQRT(D19^2+($M$6/1000+($O$6/1000000)*L19)^2)</f>
        <v>8.2206503592168454E-4</v>
      </c>
      <c r="O19" s="35">
        <f t="shared" si="2"/>
        <v>8.9135718042143708E-2</v>
      </c>
      <c r="P19" s="37">
        <f t="shared" si="3"/>
        <v>-2.4739822384134413E-4</v>
      </c>
      <c r="Q19" s="30">
        <v>22.072466718636257</v>
      </c>
      <c r="R19" s="45">
        <f>SQRT((Q19*M19/$G$4)^2+(((0.5-$M$3)*Q19^2)/$G$4)^2)</f>
        <v>3.068673081819647E-5</v>
      </c>
    </row>
    <row r="20" spans="1:18" x14ac:dyDescent="0.3">
      <c r="A20" s="5" t="s">
        <v>11</v>
      </c>
      <c r="B20" s="28">
        <v>428259.85781999998</v>
      </c>
      <c r="C20" s="28">
        <v>4584077.9289199999</v>
      </c>
      <c r="D20" s="20">
        <v>0</v>
      </c>
      <c r="E20" s="20">
        <v>3.09</v>
      </c>
      <c r="F20" s="35">
        <f>B20-$J$2</f>
        <v>4.9934399999910966</v>
      </c>
      <c r="G20" s="35">
        <f>C20-$J$3</f>
        <v>-6.3610899997875094</v>
      </c>
      <c r="H20" s="18">
        <f>ATAN2(G20,F20)*$G$5</f>
        <v>157.6313039345761</v>
      </c>
      <c r="I20" s="7">
        <f t="shared" si="1"/>
        <v>157.6313039345761</v>
      </c>
      <c r="J20" s="29">
        <f t="shared" si="0"/>
        <v>8.0868973666609456</v>
      </c>
      <c r="K20" s="37">
        <v>157.63101324540855</v>
      </c>
      <c r="L20" s="21">
        <v>8.0871608433292135</v>
      </c>
      <c r="M20" s="43">
        <f>SQRT($M$5^2+((D20/L20)*$G$7)^2+E20^2)</f>
        <v>3.4539248288085989</v>
      </c>
      <c r="N20" s="44">
        <f>SQRT(D20^2+($M$6/1000+($O$6/1000000)*L20)^2)</f>
        <v>8.080871608433293E-4</v>
      </c>
      <c r="O20" s="35">
        <f t="shared" si="2"/>
        <v>2.9068916754226848</v>
      </c>
      <c r="P20" s="37">
        <f t="shared" si="3"/>
        <v>-2.634766682678702E-4</v>
      </c>
      <c r="Q20" s="30">
        <v>8.0898843399215661</v>
      </c>
      <c r="R20" s="45">
        <f>SQRT((Q20*M20/$G$4)^2+(((0.5-$M$3)*Q20^2)/$G$4)^2)</f>
        <v>5.7972035590666116E-6</v>
      </c>
    </row>
    <row r="21" spans="1:18" x14ac:dyDescent="0.3">
      <c r="B21" s="2"/>
      <c r="C21" s="2"/>
      <c r="D21" s="2"/>
      <c r="E21" s="2"/>
      <c r="F21" s="2"/>
      <c r="I21" s="17"/>
    </row>
  </sheetData>
  <phoneticPr fontId="1" type="noConversion"/>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35fc9766-ae04-4cb0-889f-359d312f8c35}" enabled="0" method="" siteId="{35fc9766-ae04-4cb0-889f-359d312f8c3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Cálculo 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Rodríguez Bravo, Adrián</dc:creator>
  <cp:lastModifiedBy>Pou Peña, Guillermo</cp:lastModifiedBy>
  <dcterms:created xsi:type="dcterms:W3CDTF">2025-11-25T10:53:52Z</dcterms:created>
  <dcterms:modified xsi:type="dcterms:W3CDTF">2026-02-24T00:35:35Z</dcterms:modified>
</cp:coreProperties>
</file>