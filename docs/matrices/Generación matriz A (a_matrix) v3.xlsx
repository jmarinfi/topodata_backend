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e0-my.sharepoint.com/personal/gpou_ofiteco_com/Documents/Programas/Ajuste de observaciones OFITECO/"/>
    </mc:Choice>
  </mc:AlternateContent>
  <xr:revisionPtr revIDLastSave="74" documentId="8_{ADB71A64-C086-4071-96F5-A9B0AFA7D3B4}" xr6:coauthVersionLast="47" xr6:coauthVersionMax="47" xr10:uidLastSave="{ED72AE55-975E-49CB-907B-2F494B4C45CA}"/>
  <bookViews>
    <workbookView xWindow="-108" yWindow="-108" windowWidth="23256" windowHeight="12456" xr2:uid="{55901409-FE48-4B62-BED5-462D43EC8893}"/>
  </bookViews>
  <sheets>
    <sheet name="Cálculo matriz_A" sheetId="1" r:id="rId1"/>
  </sheets>
  <definedNames>
    <definedName name="_xlnm._FilterDatabase" localSheetId="0" hidden="1">'Cálculo matriz_A'!$A$2:$K$7</definedName>
    <definedName name="Matriz_A">'Cálculo matriz_A'!$C$15:$J$24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F21" i="1"/>
  <c r="H22" i="1"/>
  <c r="H23" i="1"/>
  <c r="J24" i="1"/>
  <c r="D20" i="1"/>
  <c r="E21" i="1"/>
  <c r="G22" i="1"/>
  <c r="G23" i="1"/>
  <c r="I24" i="1"/>
  <c r="C20" i="1"/>
  <c r="H7" i="1" l="1"/>
  <c r="F16" i="1" l="1"/>
  <c r="E16" i="1" l="1"/>
  <c r="J19" i="1"/>
  <c r="D15" i="1"/>
  <c r="C15" i="1"/>
  <c r="H17" i="1"/>
  <c r="G17" i="1"/>
  <c r="H18" i="1"/>
  <c r="G18" i="1"/>
  <c r="I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tc={4D2B1557-3618-43C4-A9AD-F281C549ED09}</author>
    <author>tc={954F87D2-8F39-48C8-B48B-363ED9364FF1}</author>
    <author>tc={C9A98490-7D90-4ACF-92BA-389F2C00409B}</author>
  </authors>
  <commentList>
    <comment ref="G2" authorId="0" shapeId="0" xr:uid="{4D2B1557-3618-43C4-A9AD-F281C549ED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radianes a segundos de ángulos centesimales (cc).</t>
      </text>
    </comment>
    <comment ref="B6" authorId="1" shapeId="0" xr:uid="{954F87D2-8F39-48C8-B48B-363ED9364F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mismo punto P3 tiene dos ΔX y ΔY distintos porque están leídos desde diferentes estacionamientos.
Es un ejemplo para que se entienda mejor la construcción de la Matriz_A</t>
      </text>
    </comment>
    <comment ref="H7" authorId="2" shapeId="0" xr:uid="{C9A98490-7D90-4ACF-92BA-389F2C0040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punto P3 se lee 2 veces, por eso aparece 2 veces en la matriz. Eso genera más ecuaciones sin aumentar las incógnitas. Por lo tanto, aumentan los grados de libertad (redundancia).</t>
      </text>
    </comment>
  </commentList>
</comments>
</file>

<file path=xl/sharedStrings.xml><?xml version="1.0" encoding="utf-8"?>
<sst xmlns="http://schemas.openxmlformats.org/spreadsheetml/2006/main" count="46" uniqueCount="26">
  <si>
    <t>Punto Visado</t>
  </si>
  <si>
    <t>P1</t>
  </si>
  <si>
    <t>P2</t>
  </si>
  <si>
    <t>P3</t>
  </si>
  <si>
    <t>P4</t>
  </si>
  <si>
    <t>dx_P1</t>
  </si>
  <si>
    <t>dy_P1</t>
  </si>
  <si>
    <t>dx_P2</t>
  </si>
  <si>
    <t>dy_P2</t>
  </si>
  <si>
    <t>dx_P3</t>
  </si>
  <si>
    <t>dy_P3</t>
  </si>
  <si>
    <t>dx_P4</t>
  </si>
  <si>
    <t>dy_P4</t>
  </si>
  <si>
    <t>Ecuación</t>
  </si>
  <si>
    <t>Dirección</t>
  </si>
  <si>
    <t>Distancia</t>
  </si>
  <si>
    <t>AproxCoordsAdjuster.dist_utm</t>
  </si>
  <si>
    <t>KUTMAdjuster.dist_calculada</t>
  </si>
  <si>
    <t>KUTMAdjuster.delta_E</t>
  </si>
  <si>
    <t>KUTMAdjuster.delta_N</t>
  </si>
  <si>
    <t>Project.r_cc</t>
  </si>
  <si>
    <t xml:space="preserve">Ecuaciones = Número de filas de la matriz A </t>
  </si>
  <si>
    <t>Incógnitas = Número de columnas de la matriz A</t>
  </si>
  <si>
    <t>num_equations_matrix</t>
  </si>
  <si>
    <t>num_unknowns_matrix</t>
  </si>
  <si>
    <t>grados de 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</si>
</sst>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164" fontId="0" fillId="2" borderId="0" xfId="0" applyNumberFormat="1" applyFill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6" borderId="5" xfId="0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Fill="1" applyBorder="1"/>
    <xf numFmtId="0" fontId="0" fillId="0" borderId="9" xfId="0" applyFill="1" applyBorder="1"/>
    <xf numFmtId="0" fontId="0" fillId="0" borderId="13" xfId="0" applyFill="1" applyBorder="1"/>
    <xf numFmtId="0" fontId="0" fillId="0" borderId="3" xfId="0" applyFill="1" applyBorder="1"/>
    <xf numFmtId="0" fontId="3" fillId="5" borderId="0" xfId="0" applyFont="1" applyFill="1" applyBorder="1"/>
    <xf numFmtId="0" fontId="0" fillId="0" borderId="0" xfId="0" applyFill="1"/>
    <xf numFmtId="0" fontId="3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164" fontId="0" fillId="0" borderId="1" xfId="0" applyNumberFormat="1" applyFill="1" applyBorder="1" applyAlignment="1">
      <alignment horizontal="center"/>
    </xf>
    <xf numFmtId="167" fontId="0" fillId="0" borderId="1" xfId="0" applyNumberFormat="1" applyFill="1" applyBorder="1"/>
    <xf numFmtId="164" fontId="2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7" fontId="3" fillId="0" borderId="1" xfId="0" applyNumberFormat="1" applyFont="1" applyFill="1" applyBorder="1"/>
    <xf numFmtId="164" fontId="5" fillId="0" borderId="1" xfId="0" applyNumberFormat="1" applyFont="1" applyFill="1" applyBorder="1" applyAlignment="1">
      <alignment horizontal="center"/>
    </xf>
    <xf numFmtId="0" fontId="0" fillId="0" borderId="2" xfId="0" applyFill="1" applyBorder="1"/>
    <xf numFmtId="164" fontId="0" fillId="2" borderId="0" xfId="0" applyNumberFormat="1" applyFill="1"/>
    <xf numFmtId="0" fontId="4" fillId="0" borderId="0" xfId="0" applyFont="1" applyBorder="1" applyAlignment="1">
      <alignment wrapText="1"/>
    </xf>
    <xf numFmtId="0" fontId="4" fillId="0" borderId="0" xfId="0" applyFont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6" borderId="5" xfId="0" applyNumberFormat="1" applyFill="1" applyBorder="1"/>
    <xf numFmtId="164" fontId="0" fillId="6" borderId="12" xfId="0" applyNumberFormat="1" applyFill="1" applyBorder="1"/>
    <xf numFmtId="164" fontId="0" fillId="3" borderId="9" xfId="0" applyNumberFormat="1" applyFill="1" applyBorder="1"/>
    <xf numFmtId="164" fontId="0" fillId="3" borderId="0" xfId="0" applyNumberFormat="1" applyFill="1" applyBorder="1"/>
    <xf numFmtId="164" fontId="0" fillId="6" borderId="3" xfId="0" applyNumberFormat="1" applyFill="1" applyBorder="1"/>
    <xf numFmtId="164" fontId="0" fillId="6" borderId="4" xfId="0" applyNumberFormat="1" applyFill="1" applyBorder="1"/>
    <xf numFmtId="1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14</xdr:row>
      <xdr:rowOff>7620</xdr:rowOff>
    </xdr:from>
    <xdr:to>
      <xdr:col>10</xdr:col>
      <xdr:colOff>365760</xdr:colOff>
      <xdr:row>24</xdr:row>
      <xdr:rowOff>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182176F0-B10F-7AF1-41A6-60724EE0F6EA}"/>
            </a:ext>
          </a:extLst>
        </xdr:cNvPr>
        <xdr:cNvSpPr/>
      </xdr:nvSpPr>
      <xdr:spPr>
        <a:xfrm>
          <a:off x="9464040" y="2758440"/>
          <a:ext cx="304800" cy="1828800"/>
        </a:xfrm>
        <a:prstGeom prst="rightBrace">
          <a:avLst>
            <a:gd name="adj1" fmla="val 8333"/>
            <a:gd name="adj2" fmla="val 55417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22860</xdr:colOff>
      <xdr:row>25</xdr:row>
      <xdr:rowOff>0</xdr:rowOff>
    </xdr:from>
    <xdr:to>
      <xdr:col>9</xdr:col>
      <xdr:colOff>853440</xdr:colOff>
      <xdr:row>26</xdr:row>
      <xdr:rowOff>137160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6ACBBB4A-1F13-43E9-9977-3F83CD22E4B2}"/>
            </a:ext>
          </a:extLst>
        </xdr:cNvPr>
        <xdr:cNvSpPr/>
      </xdr:nvSpPr>
      <xdr:spPr>
        <a:xfrm rot="5400000">
          <a:off x="5463540" y="1158240"/>
          <a:ext cx="320040" cy="7543800"/>
        </a:xfrm>
        <a:prstGeom prst="rightBrace">
          <a:avLst>
            <a:gd name="adj1" fmla="val 8333"/>
            <a:gd name="adj2" fmla="val 53131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ou Peña, Guillermo" id="{DB3B072B-77EB-4CBB-B34A-191E50B9A364}" userId="S::gpou@ofiteco.com::b6e8f51f-6c67-42f8-935b-adeb13ebe17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2-02T22:35:32.43" personId="{DB3B072B-77EB-4CBB-B34A-191E50B9A364}" id="{4D2B1557-3618-43C4-A9AD-F281C549ED09}">
    <text>Pasa de ángulos radianes a segundos de ángulos centesimales (cc).</text>
  </threadedComment>
  <threadedComment ref="B6" dT="2026-03-07T17:16:14.43" personId="{DB3B072B-77EB-4CBB-B34A-191E50B9A364}" id="{954F87D2-8F39-48C8-B48B-363ED9364FF1}">
    <text>El mismo punto P3 tiene dos ΔX y ΔY distintos porque están leídos desde diferentes estacionamientos.
Es un ejemplo para que se entienda mejor la construcción de la Matriz_A</text>
  </threadedComment>
  <threadedComment ref="H7" dT="2026-03-07T17:12:03.07" personId="{DB3B072B-77EB-4CBB-B34A-191E50B9A364}" id="{C9A98490-7D90-4ACF-92BA-389F2C00409B}">
    <text>El punto P3 se lee 2 veces, por eso aparece 2 veces en la matriz. Eso genera más ecuaciones sin aumentar las incógnitas. Por lo tanto, aumentan los grados de libertad (redundancia).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A2:L28"/>
  <sheetViews>
    <sheetView tabSelected="1" topLeftCell="A6" zoomScaleNormal="100" workbookViewId="0">
      <selection activeCell="J9" sqref="J9"/>
    </sheetView>
  </sheetViews>
  <sheetFormatPr baseColWidth="10" defaultRowHeight="14.4" x14ac:dyDescent="0.3"/>
  <cols>
    <col min="1" max="1" width="12.44140625" customWidth="1"/>
    <col min="2" max="2" width="12" customWidth="1"/>
    <col min="3" max="3" width="12.44140625" customWidth="1"/>
    <col min="4" max="4" width="12.77734375" customWidth="1"/>
    <col min="5" max="5" width="18.77734375" customWidth="1"/>
    <col min="6" max="6" width="14" customWidth="1"/>
    <col min="7" max="7" width="20.21875" customWidth="1"/>
    <col min="8" max="8" width="10.6640625" customWidth="1"/>
    <col min="9" max="9" width="11.33203125" customWidth="1"/>
    <col min="10" max="10" width="9.88671875" customWidth="1"/>
    <col min="11" max="11" width="10.6640625" customWidth="1"/>
    <col min="27" max="27" width="19.33203125" customWidth="1"/>
    <col min="31" max="31" width="19.88671875" customWidth="1"/>
  </cols>
  <sheetData>
    <row r="2" spans="1:10" s="1" customFormat="1" ht="28.8" x14ac:dyDescent="0.3">
      <c r="A2" s="24" t="s">
        <v>0</v>
      </c>
      <c r="B2" s="22" t="s">
        <v>18</v>
      </c>
      <c r="C2" s="22" t="s">
        <v>19</v>
      </c>
      <c r="D2" s="23" t="s">
        <v>17</v>
      </c>
      <c r="E2" s="23" t="s">
        <v>16</v>
      </c>
      <c r="G2" s="23" t="s">
        <v>20</v>
      </c>
      <c r="H2" s="31">
        <v>636619.77236758138</v>
      </c>
    </row>
    <row r="3" spans="1:10" x14ac:dyDescent="0.3">
      <c r="A3" s="5" t="s">
        <v>1</v>
      </c>
      <c r="B3" s="25">
        <v>-127.43181999999797</v>
      </c>
      <c r="C3" s="25">
        <v>38.99909000005573</v>
      </c>
      <c r="D3" s="26">
        <v>133.26589124507564</v>
      </c>
      <c r="E3" s="27">
        <v>133.26546870167357</v>
      </c>
    </row>
    <row r="4" spans="1:10" x14ac:dyDescent="0.3">
      <c r="A4" s="6" t="s">
        <v>2</v>
      </c>
      <c r="B4" s="25">
        <v>-127.42730999999912</v>
      </c>
      <c r="C4" s="25">
        <v>38.970160000026226</v>
      </c>
      <c r="D4" s="26">
        <v>133.25311517658236</v>
      </c>
      <c r="E4" s="27">
        <v>133.25320717525827</v>
      </c>
    </row>
    <row r="5" spans="1:10" x14ac:dyDescent="0.3">
      <c r="A5" s="7" t="s">
        <v>3</v>
      </c>
      <c r="B5" s="25">
        <v>-126.95681000000332</v>
      </c>
      <c r="C5" s="25">
        <v>30.091010000556707</v>
      </c>
      <c r="D5" s="26">
        <v>130.47413723888175</v>
      </c>
      <c r="E5" s="27">
        <v>130.47399999999999</v>
      </c>
      <c r="G5" t="s">
        <v>23</v>
      </c>
      <c r="H5" s="2">
        <f>COUNTA(B15:B24)</f>
        <v>10</v>
      </c>
    </row>
    <row r="6" spans="1:10" x14ac:dyDescent="0.3">
      <c r="A6" s="20" t="s">
        <v>3</v>
      </c>
      <c r="B6" s="28">
        <v>50</v>
      </c>
      <c r="C6" s="28">
        <v>10</v>
      </c>
      <c r="D6" s="29">
        <v>50.990195135927848</v>
      </c>
      <c r="E6" s="30">
        <v>50.99</v>
      </c>
      <c r="G6" t="s">
        <v>24</v>
      </c>
      <c r="H6" s="2">
        <f>COUNTA(C14:J14)</f>
        <v>8</v>
      </c>
    </row>
    <row r="7" spans="1:10" x14ac:dyDescent="0.3">
      <c r="A7" s="9" t="s">
        <v>4</v>
      </c>
      <c r="B7" s="25">
        <v>-0.93392999999923632</v>
      </c>
      <c r="C7" s="25">
        <v>46.118310000747442</v>
      </c>
      <c r="D7" s="26">
        <v>46.127765419212977</v>
      </c>
      <c r="E7" s="27">
        <v>46.127881294364052</v>
      </c>
      <c r="G7" t="s">
        <v>25</v>
      </c>
      <c r="H7" s="32">
        <f>H5-H6</f>
        <v>2</v>
      </c>
    </row>
    <row r="10" spans="1:10" x14ac:dyDescent="0.3">
      <c r="A10" s="21"/>
    </row>
    <row r="14" spans="1:10" ht="15" thickBot="1" x14ac:dyDescent="0.35">
      <c r="A14" s="33" t="s">
        <v>0</v>
      </c>
      <c r="B14" s="34" t="s">
        <v>13</v>
      </c>
      <c r="C14" s="5" t="s">
        <v>5</v>
      </c>
      <c r="D14" s="5" t="s">
        <v>6</v>
      </c>
      <c r="E14" s="6" t="s">
        <v>7</v>
      </c>
      <c r="F14" s="6" t="s">
        <v>8</v>
      </c>
      <c r="G14" s="7" t="s">
        <v>9</v>
      </c>
      <c r="H14" s="7" t="s">
        <v>10</v>
      </c>
      <c r="I14" s="8" t="s">
        <v>11</v>
      </c>
      <c r="J14" s="8" t="s">
        <v>12</v>
      </c>
    </row>
    <row r="15" spans="1:10" x14ac:dyDescent="0.3">
      <c r="A15" s="5" t="s">
        <v>1</v>
      </c>
      <c r="B15" s="4" t="s">
        <v>14</v>
      </c>
      <c r="C15" s="35">
        <f>C3*$H$2/D3^2</f>
        <v>1397.965907091233</v>
      </c>
      <c r="D15" s="36">
        <f>-B3*$H$2/D3^2</f>
        <v>4567.9358117927704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2">
        <v>0</v>
      </c>
    </row>
    <row r="16" spans="1:10" x14ac:dyDescent="0.3">
      <c r="A16" s="6" t="s">
        <v>2</v>
      </c>
      <c r="B16" s="4" t="s">
        <v>14</v>
      </c>
      <c r="C16" s="13">
        <v>0</v>
      </c>
      <c r="D16" s="4">
        <v>0</v>
      </c>
      <c r="E16" s="37">
        <f>C4*$H$2/D4^2</f>
        <v>1397.1967618393539</v>
      </c>
      <c r="F16" s="37">
        <f>-B4*$H$2/D4^2</f>
        <v>4568.6500877024491</v>
      </c>
      <c r="G16" s="4">
        <v>0</v>
      </c>
      <c r="H16" s="4">
        <v>0</v>
      </c>
      <c r="I16" s="4">
        <v>0</v>
      </c>
      <c r="J16" s="14">
        <v>0</v>
      </c>
    </row>
    <row r="17" spans="1:12" x14ac:dyDescent="0.3">
      <c r="A17" s="7" t="s">
        <v>3</v>
      </c>
      <c r="B17" s="4" t="s">
        <v>14</v>
      </c>
      <c r="C17" s="13">
        <v>0</v>
      </c>
      <c r="D17" s="4">
        <v>0</v>
      </c>
      <c r="E17" s="4">
        <v>0</v>
      </c>
      <c r="F17" s="4">
        <v>0</v>
      </c>
      <c r="G17" s="38">
        <f>C5*$H$2/D5^2</f>
        <v>1125.2992268017483</v>
      </c>
      <c r="H17" s="38">
        <f>-B5*$H$2/D5^2</f>
        <v>4747.7435994197976</v>
      </c>
      <c r="I17" s="4">
        <v>0</v>
      </c>
      <c r="J17" s="14">
        <v>0</v>
      </c>
    </row>
    <row r="18" spans="1:12" x14ac:dyDescent="0.3">
      <c r="A18" s="20" t="s">
        <v>3</v>
      </c>
      <c r="B18" s="4" t="s">
        <v>14</v>
      </c>
      <c r="C18" s="13">
        <v>0</v>
      </c>
      <c r="D18" s="4">
        <v>0</v>
      </c>
      <c r="E18" s="4">
        <v>0</v>
      </c>
      <c r="F18" s="4">
        <v>0</v>
      </c>
      <c r="G18" s="38">
        <f>C6*$H$2/D6^2</f>
        <v>2448.5375860291592</v>
      </c>
      <c r="H18" s="38">
        <f>-B6*$H$2/D6^2</f>
        <v>-12242.687930145796</v>
      </c>
      <c r="I18" s="4">
        <v>0</v>
      </c>
      <c r="J18" s="14">
        <v>0</v>
      </c>
    </row>
    <row r="19" spans="1:12" x14ac:dyDescent="0.3">
      <c r="A19" s="9" t="s">
        <v>4</v>
      </c>
      <c r="B19" s="10" t="s">
        <v>14</v>
      </c>
      <c r="C19" s="15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39">
        <f>C7*$H$2/D7^2</f>
        <v>13798.398214270173</v>
      </c>
      <c r="J19" s="40">
        <f>-B7*$H$2/D7^2</f>
        <v>279.42780305769986</v>
      </c>
    </row>
    <row r="20" spans="1:12" x14ac:dyDescent="0.3">
      <c r="A20" s="5" t="s">
        <v>1</v>
      </c>
      <c r="B20" s="4" t="s">
        <v>15</v>
      </c>
      <c r="C20" s="41">
        <f>B3/E3</f>
        <v>-0.95622535411078824</v>
      </c>
      <c r="D20" s="42">
        <f>C3/E3</f>
        <v>0.29264212537576867</v>
      </c>
      <c r="E20" s="45">
        <v>0</v>
      </c>
      <c r="F20" s="45">
        <v>0</v>
      </c>
      <c r="G20" s="3">
        <v>0</v>
      </c>
      <c r="H20" s="3">
        <v>0</v>
      </c>
      <c r="I20" s="3">
        <v>0</v>
      </c>
      <c r="J20" s="16">
        <v>0</v>
      </c>
      <c r="L20" t="s">
        <v>21</v>
      </c>
    </row>
    <row r="21" spans="1:12" x14ac:dyDescent="0.3">
      <c r="A21" s="6" t="s">
        <v>2</v>
      </c>
      <c r="B21" s="4" t="s">
        <v>15</v>
      </c>
      <c r="C21" s="17">
        <v>0</v>
      </c>
      <c r="D21" s="3">
        <v>0</v>
      </c>
      <c r="E21" s="37">
        <f>B4/E4</f>
        <v>-0.95627949751635799</v>
      </c>
      <c r="F21" s="37">
        <f>C4/E4</f>
        <v>0.29245194788273732</v>
      </c>
      <c r="G21" s="3">
        <v>0</v>
      </c>
      <c r="H21" s="3">
        <v>0</v>
      </c>
      <c r="I21" s="3">
        <v>0</v>
      </c>
      <c r="J21" s="16">
        <v>0</v>
      </c>
    </row>
    <row r="22" spans="1:12" x14ac:dyDescent="0.3">
      <c r="A22" s="7" t="s">
        <v>3</v>
      </c>
      <c r="B22" s="4" t="s">
        <v>15</v>
      </c>
      <c r="C22" s="17">
        <v>0</v>
      </c>
      <c r="D22" s="3">
        <v>0</v>
      </c>
      <c r="E22" s="3">
        <v>0</v>
      </c>
      <c r="F22" s="3">
        <v>0</v>
      </c>
      <c r="G22" s="38">
        <f>B5/E5</f>
        <v>-0.97304298174351467</v>
      </c>
      <c r="H22" s="38">
        <f>C5/E5</f>
        <v>0.23062840106501456</v>
      </c>
      <c r="I22" s="3">
        <v>0</v>
      </c>
      <c r="J22" s="16">
        <v>0</v>
      </c>
    </row>
    <row r="23" spans="1:12" x14ac:dyDescent="0.3">
      <c r="A23" s="20" t="s">
        <v>3</v>
      </c>
      <c r="B23" s="4" t="s">
        <v>15</v>
      </c>
      <c r="C23" s="17">
        <v>0</v>
      </c>
      <c r="D23" s="3">
        <v>0</v>
      </c>
      <c r="E23" s="3">
        <v>0</v>
      </c>
      <c r="F23" s="3">
        <v>0</v>
      </c>
      <c r="G23" s="38">
        <f>B6/E6</f>
        <v>0.98058442831927828</v>
      </c>
      <c r="H23" s="38">
        <f>C6/E6</f>
        <v>0.19611688566385566</v>
      </c>
      <c r="I23" s="3">
        <v>0</v>
      </c>
      <c r="J23" s="16">
        <v>0</v>
      </c>
    </row>
    <row r="24" spans="1:12" ht="15" thickBot="1" x14ac:dyDescent="0.35">
      <c r="A24" s="8" t="s">
        <v>4</v>
      </c>
      <c r="B24" s="4" t="s">
        <v>15</v>
      </c>
      <c r="C24" s="18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43">
        <f>B7/E7</f>
        <v>-2.0246540135658578E-2</v>
      </c>
      <c r="J24" s="44">
        <f>C7/E7</f>
        <v>0.99979250524090779</v>
      </c>
    </row>
    <row r="28" spans="1:12" x14ac:dyDescent="0.3">
      <c r="F28" t="s">
        <v>22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Cálculo matriz_A</vt:lpstr>
      <vt:lpstr>Matriz_A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2026-03-07T17:51:14Z</dcterms:modified>
</cp:coreProperties>
</file>