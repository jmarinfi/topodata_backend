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e0-my.sharepoint.com/personal/gpou_ofiteco_com/Documents/Programas/Ajuste de observaciones OFITECO/"/>
    </mc:Choice>
  </mc:AlternateContent>
  <xr:revisionPtr revIDLastSave="168" documentId="8_{A14188C7-6605-4653-930A-6AC5AA24EC9E}" xr6:coauthVersionLast="47" xr6:coauthVersionMax="47" xr10:uidLastSave="{E43B0C8F-B592-4976-84B7-31887023422D}"/>
  <bookViews>
    <workbookView xWindow="28680" yWindow="-120" windowWidth="29040" windowHeight="15720" xr2:uid="{55901409-FE48-4B62-BED5-462D43EC8893}"/>
  </bookViews>
  <sheets>
    <sheet name="Cálculo matriz_L" sheetId="1" r:id="rId1"/>
  </sheets>
  <definedNames>
    <definedName name="_xlnm._FilterDatabase" localSheetId="0" hidden="1">'Cálculo matriz_L'!$A$2:$D$6</definedName>
    <definedName name="Matriz_A">'Cálculo matriz_L'!$C$14:$G$21</definedName>
    <definedName name="Matriz_L">'Cálculo matriz_L'!$C$14:$C$21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C15" i="1" s="1"/>
  <c r="H5" i="1"/>
  <c r="C16" i="1" s="1"/>
  <c r="H6" i="1"/>
  <c r="C17" i="1" s="1"/>
  <c r="H3" i="1"/>
  <c r="C14" i="1" s="1"/>
  <c r="G4" i="1" l="1"/>
  <c r="C19" i="1" s="1"/>
  <c r="G5" i="1"/>
  <c r="C20" i="1" s="1"/>
  <c r="G6" i="1"/>
  <c r="C21" i="1" s="1"/>
  <c r="G3" i="1"/>
  <c r="C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tc={42F823B4-95C5-4373-BD14-18E5B5863696}</author>
    <author>tc={7EED2420-267D-4393-A72E-40FBEED4A270}</author>
  </authors>
  <commentList>
    <comment ref="D2" authorId="0" shapeId="0" xr:uid="{42F823B4-95C5-4373-BD14-18E5B58636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obtiene dentro de def _calculate_desorientacion_reference()
acimut = math.atan2(delta_x, delta_y) * self.project.r_gon
</t>
      </text>
    </comment>
    <comment ref="E2" authorId="1" shapeId="0" xr:uid="{7EED2420-267D-4393-A72E-40FBEED4A2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obtienen dentro de def _calculate_coordenada_aproximada()
acimut = (bessel_observation.hz_angle_bessel + self.desorientacion_estacionamiento)
</t>
      </text>
    </comment>
  </commentList>
</comments>
</file>

<file path=xl/sharedStrings.xml><?xml version="1.0" encoding="utf-8"?>
<sst xmlns="http://schemas.openxmlformats.org/spreadsheetml/2006/main" count="30" uniqueCount="15">
  <si>
    <t>Punto Visado</t>
  </si>
  <si>
    <t>P1</t>
  </si>
  <si>
    <t>P2</t>
  </si>
  <si>
    <t>P3</t>
  </si>
  <si>
    <t>P4</t>
  </si>
  <si>
    <t>Ecuación</t>
  </si>
  <si>
    <t>Dirección</t>
  </si>
  <si>
    <t>Distancia</t>
  </si>
  <si>
    <t>AproxCoordsAdjuster.dist_utm</t>
  </si>
  <si>
    <t>KUTMAdjuster.dist_calculada</t>
  </si>
  <si>
    <t>Δ Distancias (m)</t>
  </si>
  <si>
    <t>Δ Acimuts (cc)</t>
  </si>
  <si>
    <t>Acimut calculado</t>
  </si>
  <si>
    <t>Acimut observado</t>
  </si>
  <si>
    <t>Matriz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</si>
</sst>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2" xfId="0" applyFill="1" applyBorder="1"/>
    <xf numFmtId="0" fontId="0" fillId="0" borderId="2" xfId="0" applyBorder="1"/>
    <xf numFmtId="0" fontId="0" fillId="6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4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/>
    <xf numFmtId="165" fontId="0" fillId="2" borderId="3" xfId="0" applyNumberFormat="1" applyFill="1" applyBorder="1"/>
    <xf numFmtId="165" fontId="0" fillId="3" borderId="4" xfId="0" applyNumberFormat="1" applyFill="1" applyBorder="1"/>
    <xf numFmtId="165" fontId="0" fillId="4" borderId="4" xfId="0" applyNumberFormat="1" applyFill="1" applyBorder="1"/>
    <xf numFmtId="165" fontId="0" fillId="5" borderId="5" xfId="0" applyNumberFormat="1" applyFill="1" applyBorder="1"/>
    <xf numFmtId="165" fontId="0" fillId="2" borderId="4" xfId="0" applyNumberFormat="1" applyFill="1" applyBorder="1"/>
    <xf numFmtId="165" fontId="0" fillId="5" borderId="6" xfId="0" applyNumberFormat="1" applyFill="1" applyBorder="1"/>
    <xf numFmtId="165" fontId="0" fillId="2" borderId="1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u Peña, Guillermo" id="{DB3B072B-77EB-4CBB-B34A-191E50B9A364}" userId="S::gpou@ofiteco.com::b6e8f51f-6c67-42f8-935b-adeb13ebe17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3-10T18:40:03.50" personId="{DB3B072B-77EB-4CBB-B34A-191E50B9A364}" id="{42F823B4-95C5-4373-BD14-18E5B5863696}">
    <text xml:space="preserve">Se obtiene dentro de def _calculate_desorientacion_reference()
acimut = math.atan2(delta_x, delta_y) * self.project.r_gon
</text>
  </threadedComment>
  <threadedComment ref="E2" dT="2026-02-23T19:38:22.39" personId="{DB3B072B-77EB-4CBB-B34A-191E50B9A364}" id="{7EED2420-267D-4393-A72E-40FBEED4A270}">
    <text xml:space="preserve">Se obtienen dentro de def _calculate_coordenada_aproximada()
acimut = (bessel_observation.hz_angle_bessel + self.desorientacion_estacionamiento)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A2:H21"/>
  <sheetViews>
    <sheetView tabSelected="1" zoomScaleNormal="100" workbookViewId="0">
      <selection activeCell="F16" sqref="F16"/>
    </sheetView>
  </sheetViews>
  <sheetFormatPr baseColWidth="10" defaultRowHeight="14.4" x14ac:dyDescent="0.3"/>
  <cols>
    <col min="1" max="1" width="12.44140625" customWidth="1"/>
    <col min="2" max="2" width="12" customWidth="1"/>
    <col min="3" max="3" width="12.44140625" customWidth="1"/>
    <col min="4" max="4" width="13.88671875" customWidth="1"/>
    <col min="6" max="6" width="9.5546875" customWidth="1"/>
    <col min="7" max="7" width="14" customWidth="1"/>
    <col min="8" max="8" width="10.6640625" customWidth="1"/>
    <col min="21" max="21" width="19.33203125" customWidth="1"/>
    <col min="25" max="25" width="19.88671875" customWidth="1"/>
  </cols>
  <sheetData>
    <row r="2" spans="1:8" s="1" customFormat="1" ht="43.2" x14ac:dyDescent="0.3">
      <c r="A2" s="9" t="s">
        <v>0</v>
      </c>
      <c r="B2" s="8" t="s">
        <v>9</v>
      </c>
      <c r="C2" s="8" t="s">
        <v>8</v>
      </c>
      <c r="D2" s="15" t="s">
        <v>12</v>
      </c>
      <c r="E2" s="15" t="s">
        <v>13</v>
      </c>
      <c r="G2" s="15" t="s">
        <v>10</v>
      </c>
      <c r="H2" s="15" t="s">
        <v>11</v>
      </c>
    </row>
    <row r="3" spans="1:8" x14ac:dyDescent="0.3">
      <c r="A3" s="2" t="s">
        <v>1</v>
      </c>
      <c r="B3" s="11">
        <v>133.26589124507564</v>
      </c>
      <c r="C3" s="12">
        <v>133.26546870167357</v>
      </c>
      <c r="D3" s="10">
        <v>318.90683001320076</v>
      </c>
      <c r="E3" s="16">
        <v>318.90691324540853</v>
      </c>
      <c r="G3" s="23">
        <f>B3-C3</f>
        <v>4.2254340206682173E-4</v>
      </c>
      <c r="H3" s="23">
        <f>(D3-E3)*10000</f>
        <v>-0.83232207771288813</v>
      </c>
    </row>
    <row r="4" spans="1:8" x14ac:dyDescent="0.3">
      <c r="A4" s="3" t="s">
        <v>2</v>
      </c>
      <c r="B4" s="11">
        <v>133.25311517658236</v>
      </c>
      <c r="C4" s="12">
        <v>133.25320717525827</v>
      </c>
      <c r="D4" s="10">
        <v>318.89424425084121</v>
      </c>
      <c r="E4" s="16">
        <v>318.89431324540851</v>
      </c>
      <c r="G4" s="24">
        <f>B4-C4</f>
        <v>-9.199867591291877E-5</v>
      </c>
      <c r="H4" s="24">
        <f>(D4-E4)*10000</f>
        <v>-0.68994567300251219</v>
      </c>
    </row>
    <row r="5" spans="1:8" x14ac:dyDescent="0.3">
      <c r="A5" s="4" t="s">
        <v>3</v>
      </c>
      <c r="B5" s="11">
        <v>130.47413723888175</v>
      </c>
      <c r="C5" s="12">
        <v>130.47399999999999</v>
      </c>
      <c r="D5" s="10">
        <v>314.81561874771432</v>
      </c>
      <c r="E5" s="16">
        <v>314.81571324540852</v>
      </c>
      <c r="G5" s="25">
        <f>B5-C5</f>
        <v>1.3723888176286891E-4</v>
      </c>
      <c r="H5" s="25">
        <f>(D5-E5)*10000</f>
        <v>-0.94497694192341442</v>
      </c>
    </row>
    <row r="6" spans="1:8" x14ac:dyDescent="0.3">
      <c r="A6" s="6" t="s">
        <v>4</v>
      </c>
      <c r="B6" s="11">
        <v>46.127765419212977</v>
      </c>
      <c r="C6" s="12">
        <v>46.127881294364052</v>
      </c>
      <c r="D6" s="10">
        <v>398.71097390744609</v>
      </c>
      <c r="E6" s="16">
        <v>398.71101324540854</v>
      </c>
      <c r="G6" s="26">
        <f>B6-C6</f>
        <v>-1.1587515107436275E-4</v>
      </c>
      <c r="H6" s="26">
        <f>(D6-E6)*10000</f>
        <v>-0.393379624483714</v>
      </c>
    </row>
    <row r="13" spans="1:8" ht="15" thickBot="1" x14ac:dyDescent="0.35">
      <c r="A13" s="13" t="s">
        <v>0</v>
      </c>
      <c r="B13" s="14" t="s">
        <v>5</v>
      </c>
      <c r="C13" s="27" t="s">
        <v>14</v>
      </c>
    </row>
    <row r="14" spans="1:8" x14ac:dyDescent="0.3">
      <c r="A14" s="2" t="s">
        <v>1</v>
      </c>
      <c r="B14" t="s">
        <v>6</v>
      </c>
      <c r="C14" s="17">
        <f>-H3</f>
        <v>0.83232207771288813</v>
      </c>
    </row>
    <row r="15" spans="1:8" x14ac:dyDescent="0.3">
      <c r="A15" s="3" t="s">
        <v>2</v>
      </c>
      <c r="B15" t="s">
        <v>6</v>
      </c>
      <c r="C15" s="18">
        <f t="shared" ref="C15:C17" si="0">-H4</f>
        <v>0.68994567300251219</v>
      </c>
    </row>
    <row r="16" spans="1:8" x14ac:dyDescent="0.3">
      <c r="A16" s="4" t="s">
        <v>3</v>
      </c>
      <c r="B16" t="s">
        <v>6</v>
      </c>
      <c r="C16" s="19">
        <f t="shared" si="0"/>
        <v>0.94497694192341442</v>
      </c>
    </row>
    <row r="17" spans="1:3" x14ac:dyDescent="0.3">
      <c r="A17" s="6" t="s">
        <v>4</v>
      </c>
      <c r="B17" s="7" t="s">
        <v>6</v>
      </c>
      <c r="C17" s="20">
        <f t="shared" si="0"/>
        <v>0.393379624483714</v>
      </c>
    </row>
    <row r="18" spans="1:3" x14ac:dyDescent="0.3">
      <c r="A18" s="2" t="s">
        <v>1</v>
      </c>
      <c r="B18" t="s">
        <v>7</v>
      </c>
      <c r="C18" s="21">
        <f>-G3</f>
        <v>-4.2254340206682173E-4</v>
      </c>
    </row>
    <row r="19" spans="1:3" x14ac:dyDescent="0.3">
      <c r="A19" s="3" t="s">
        <v>2</v>
      </c>
      <c r="B19" t="s">
        <v>7</v>
      </c>
      <c r="C19" s="18">
        <f t="shared" ref="C19:C21" si="1">-G4</f>
        <v>9.199867591291877E-5</v>
      </c>
    </row>
    <row r="20" spans="1:3" x14ac:dyDescent="0.3">
      <c r="A20" s="4" t="s">
        <v>3</v>
      </c>
      <c r="B20" t="s">
        <v>7</v>
      </c>
      <c r="C20" s="19">
        <f t="shared" si="1"/>
        <v>-1.3723888176286891E-4</v>
      </c>
    </row>
    <row r="21" spans="1:3" ht="15" thickBot="1" x14ac:dyDescent="0.35">
      <c r="A21" s="5" t="s">
        <v>4</v>
      </c>
      <c r="B21" t="s">
        <v>7</v>
      </c>
      <c r="C21" s="22">
        <f t="shared" si="1"/>
        <v>1.1587515107436275E-4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Cálculo matriz_L</vt:lpstr>
      <vt:lpstr>Matriz_A</vt:lpstr>
      <vt:lpstr>Matriz_L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2026-03-10T19:15:18Z</dcterms:modified>
</cp:coreProperties>
</file>