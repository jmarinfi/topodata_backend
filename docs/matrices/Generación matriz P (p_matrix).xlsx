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https://sice0-my.sharepoint.com/personal/gpou_ofiteco_com/Documents/Programas/Ajuste de observaciones OFITECO/Cálculos/"/>
    </mc:Choice>
  </mc:AlternateContent>
  <xr:revisionPtr revIDLastSave="107" documentId="8_{99557DB8-9A3A-40AE-BFD0-E8EDEFD674C9}" xr6:coauthVersionLast="47" xr6:coauthVersionMax="47" xr10:uidLastSave="{3C379BBA-7361-4DC6-AD3C-3691307A4A33}"/>
  <bookViews>
    <workbookView xWindow="28680" yWindow="-120" windowWidth="29040" windowHeight="15720" xr2:uid="{55901409-FE48-4B62-BED5-462D43EC8893}"/>
  </bookViews>
  <sheets>
    <sheet name="Cálculo matriz_P" sheetId="1" r:id="rId1"/>
  </sheets>
  <definedNames>
    <definedName name="_xlnm._FilterDatabase" localSheetId="0" hidden="1">'Cálculo matriz_P'!$A$2:$K$7</definedName>
    <definedName name="Matriz_A">'Cálculo matriz_P'!#REF!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5" i="1" l="1"/>
  <c r="H20" i="1"/>
  <c r="I21" i="1"/>
  <c r="J22" i="1"/>
  <c r="K23" i="1"/>
  <c r="L24" i="1"/>
  <c r="D16" i="1"/>
  <c r="E17" i="1"/>
  <c r="F18" i="1"/>
  <c r="G19"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tc={D1B866E1-3F43-47B9-9B90-1AD5D12EB8BD}</author>
    <author>tc={6088FF61-7088-4083-885B-3ED6B58DC16F}</author>
  </authors>
  <commentList>
    <comment ref="C5" authorId="0" shapeId="0" xr:uid="{D1B866E1-3F43-47B9-9B90-1AD5D12EB8BD}">
      <text>
        <t>[Comentario encadenado]
Su versión de Excel le permite leer este comentario encadenado; sin embargo, las ediciones que se apliquen se quitarán si el archivo se abre en una versión más reciente de Excel. Más información: https://go.microsoft.com/fwlink/?linkid=870924
Comentario:
    El punto “P2” se lee 2 veces desde el mismo estacionamiento. Como está a la misma distancia de la estación total, cuenta con la misa precisión total en distancia.</t>
      </text>
    </comment>
    <comment ref="C12" authorId="1" shapeId="0" xr:uid="{6088FF61-7088-4083-885B-3ED6B58DC16F}">
      <text>
        <t>[Comentario encadenado]
Su versión de Excel le permite leer este comentario encadenado; sin embargo, las ediciones que se apliquen se quitarán si el archivo se abre en una versión más reciente de Excel. Más información: https://go.microsoft.com/fwlink/?linkid=870924
Comentario:
    En la matriz de pesos “P”, el número de filas es igual al número de columnas. Este valor coincide con el número de visuales (ya corregidas por Bessel) multiplicado por 2. Se multiplica por 2 porque cada visual tiene peso en dirección y peso en distancia.
Respuesta:
    La matriz P es diagonal, no como la matriz A, que se construye de manera diferente.</t>
      </text>
    </comment>
  </commentList>
</comments>
</file>

<file path=xl/sharedStrings.xml><?xml version="1.0" encoding="utf-8"?>
<sst xmlns="http://schemas.openxmlformats.org/spreadsheetml/2006/main" count="42" uniqueCount="11">
  <si>
    <t>Punto Visado</t>
  </si>
  <si>
    <t>P1</t>
  </si>
  <si>
    <t>P2</t>
  </si>
  <si>
    <t>P3</t>
  </si>
  <si>
    <t>P4</t>
  </si>
  <si>
    <t>Ecuación</t>
  </si>
  <si>
    <t>Dirección</t>
  </si>
  <si>
    <t>Distancia</t>
  </si>
  <si>
    <t>Precisión angular horizontal total (cc)</t>
  </si>
  <si>
    <t>Precisión total en distancia (m)</t>
  </si>
  <si>
    <t>Nº Columnas = Nº Filas = Número de visuales (ya corregidas por Bessel) multiplicado por 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</si>
</sst>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0.00000"/>
  </numFmts>
  <fonts count="6" x14ac:knownFonts="1">
    <font>
      <sz val="11"/>
      <color theme="1"/>
      <name val="Aptos Narrow"/>
      <family val="2"/>
      <scheme val="minor"/>
    </font>
    <font>
      <sz val="8"/>
      <name val="Aptos Narrow"/>
      <family val="2"/>
      <scheme val="minor"/>
    </font>
    <font>
      <sz val="11"/>
      <color theme="1"/>
      <name val="Aptos Narrow"/>
      <family val="2"/>
    </font>
    <font>
      <sz val="11"/>
      <name val="Aptos Narrow"/>
      <family val="2"/>
      <scheme val="minor"/>
    </font>
    <font>
      <b/>
      <sz val="11"/>
      <color theme="1"/>
      <name val="Aptos Narrow"/>
      <family val="2"/>
      <scheme val="minor"/>
    </font>
    <font>
      <sz val="9"/>
      <color indexed="81"/>
      <name val="Tahoma"/>
      <charset val="1"/>
    </font>
  </fonts>
  <fills count="7">
    <fill>
      <patternFill patternType="none"/>
    </fill>
    <fill>
      <patternFill patternType="gray125"/>
    </fill>
    <fill>
      <patternFill patternType="solid">
        <fgColor theme="9" tint="0.39997558519241921"/>
        <bgColor indexed="64"/>
      </patternFill>
    </fill>
    <fill>
      <patternFill patternType="solid">
        <fgColor theme="8" tint="0.59999389629810485"/>
        <bgColor indexed="64"/>
      </patternFill>
    </fill>
    <fill>
      <patternFill patternType="solid">
        <fgColor theme="5" tint="0.39997558519241921"/>
        <bgColor indexed="64"/>
      </patternFill>
    </fill>
    <fill>
      <patternFill patternType="solid">
        <fgColor theme="2" tint="-0.249977111117893"/>
        <bgColor indexed="64"/>
      </patternFill>
    </fill>
    <fill>
      <patternFill patternType="solid">
        <fgColor theme="6" tint="0.59999389629810485"/>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right/>
      <top/>
      <bottom style="medium">
        <color indexed="64"/>
      </bottom>
      <diagonal/>
    </border>
    <border>
      <left/>
      <right style="medium">
        <color indexed="64"/>
      </right>
      <top/>
      <bottom style="medium">
        <color indexed="64"/>
      </bottom>
      <diagonal/>
    </border>
    <border>
      <left/>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top/>
      <bottom style="medium">
        <color indexed="64"/>
      </bottom>
      <diagonal/>
    </border>
    <border>
      <left style="thin">
        <color indexed="64"/>
      </left>
      <right/>
      <top/>
      <bottom style="medium">
        <color indexed="64"/>
      </bottom>
      <diagonal/>
    </border>
    <border>
      <left style="thin">
        <color indexed="64"/>
      </left>
      <right/>
      <top/>
      <bottom/>
      <diagonal/>
    </border>
    <border>
      <left style="thin">
        <color indexed="64"/>
      </left>
      <right/>
      <top style="medium">
        <color indexed="64"/>
      </top>
      <bottom/>
      <diagonal/>
    </border>
    <border>
      <left style="thin">
        <color indexed="64"/>
      </left>
      <right/>
      <top/>
      <bottom style="thin">
        <color indexed="64"/>
      </bottom>
      <diagonal/>
    </border>
  </borders>
  <cellStyleXfs count="1">
    <xf numFmtId="0" fontId="0" fillId="0" borderId="0"/>
  </cellStyleXfs>
  <cellXfs count="32">
    <xf numFmtId="0" fontId="0" fillId="0" borderId="0" xfId="0"/>
    <xf numFmtId="0" fontId="0" fillId="0" borderId="0" xfId="0" applyAlignment="1">
      <alignment wrapText="1"/>
    </xf>
    <xf numFmtId="0" fontId="0" fillId="2" borderId="0" xfId="0" applyFill="1"/>
    <xf numFmtId="0" fontId="0" fillId="3" borderId="0" xfId="0" applyFill="1"/>
    <xf numFmtId="0" fontId="0" fillId="5" borderId="4" xfId="0" applyFill="1" applyBorder="1"/>
    <xf numFmtId="0" fontId="0" fillId="0" borderId="4"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0" fillId="0" borderId="12" xfId="0" applyBorder="1"/>
    <xf numFmtId="0" fontId="0" fillId="0" borderId="2" xfId="0" applyBorder="1"/>
    <xf numFmtId="0" fontId="3" fillId="4" borderId="0" xfId="0" applyFont="1" applyFill="1"/>
    <xf numFmtId="0" fontId="0" fillId="6" borderId="1" xfId="0" applyFill="1" applyBorder="1" applyAlignment="1">
      <alignment horizontal="center" wrapText="1"/>
    </xf>
    <xf numFmtId="0" fontId="0" fillId="0" borderId="1" xfId="0" applyBorder="1" applyAlignment="1">
      <alignment wrapText="1"/>
    </xf>
    <xf numFmtId="0" fontId="4" fillId="0" borderId="0" xfId="0" applyFont="1" applyAlignment="1">
      <alignment wrapText="1"/>
    </xf>
    <xf numFmtId="0" fontId="4" fillId="0" borderId="0" xfId="0" applyFont="1"/>
    <xf numFmtId="166" fontId="0" fillId="0" borderId="0" xfId="0" applyNumberFormat="1"/>
    <xf numFmtId="166" fontId="2" fillId="0" borderId="1" xfId="0" applyNumberFormat="1" applyFont="1" applyBorder="1" applyAlignment="1">
      <alignment horizontal="center"/>
    </xf>
    <xf numFmtId="0" fontId="0" fillId="0" borderId="0" xfId="0" applyBorder="1"/>
    <xf numFmtId="0" fontId="0" fillId="0" borderId="11" xfId="0" applyBorder="1"/>
    <xf numFmtId="0" fontId="0" fillId="2" borderId="14" xfId="0" applyFill="1" applyBorder="1"/>
    <xf numFmtId="0" fontId="0" fillId="0" borderId="15" xfId="0" applyBorder="1"/>
    <xf numFmtId="0" fontId="0" fillId="0" borderId="14" xfId="0" applyBorder="1"/>
    <xf numFmtId="0" fontId="0" fillId="0" borderId="16" xfId="0" applyBorder="1"/>
    <xf numFmtId="0" fontId="0" fillId="0" borderId="13" xfId="0" applyBorder="1"/>
    <xf numFmtId="0" fontId="0" fillId="5" borderId="0" xfId="0" applyFill="1" applyBorder="1"/>
    <xf numFmtId="0" fontId="0" fillId="2" borderId="5" xfId="0" applyFill="1" applyBorder="1"/>
    <xf numFmtId="0" fontId="0" fillId="3" borderId="0" xfId="0" applyFill="1" applyBorder="1"/>
    <xf numFmtId="0" fontId="3" fillId="4" borderId="0" xfId="0" applyFont="1" applyFill="1" applyBorder="1"/>
    <xf numFmtId="0" fontId="0" fillId="5" borderId="3" xfId="0" applyFill="1" applyBorder="1"/>
  </cellXfs>
  <cellStyles count="1">
    <cellStyle name="Normal" xfId="0" builtinId="0"/>
  </cellStyles>
  <dxfs count="0"/>
  <tableStyles count="0" defaultTableStyle="TableStyleMedium2" defaultPivotStyle="PivotStyleLight16"/>
  <colors>
    <mruColors>
      <color rgb="FFE59EDD"/>
      <color rgb="FFFFC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microsoft.com/office/2017/10/relationships/person" Target="persons/person.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12</xdr:col>
      <xdr:colOff>123825</xdr:colOff>
      <xdr:row>14</xdr:row>
      <xdr:rowOff>19050</xdr:rowOff>
    </xdr:from>
    <xdr:to>
      <xdr:col>12</xdr:col>
      <xdr:colOff>428625</xdr:colOff>
      <xdr:row>24</xdr:row>
      <xdr:rowOff>9525</xdr:rowOff>
    </xdr:to>
    <xdr:sp macro="" textlink="">
      <xdr:nvSpPr>
        <xdr:cNvPr id="2" name="Cerrar llave 1">
          <a:extLst>
            <a:ext uri="{FF2B5EF4-FFF2-40B4-BE49-F238E27FC236}">
              <a16:creationId xmlns:a16="http://schemas.microsoft.com/office/drawing/2014/main" id="{182176F0-B10F-7AF1-41A6-60724EE0F6EA}"/>
            </a:ext>
          </a:extLst>
        </xdr:cNvPr>
        <xdr:cNvSpPr/>
      </xdr:nvSpPr>
      <xdr:spPr>
        <a:xfrm>
          <a:off x="10887075" y="3105150"/>
          <a:ext cx="304800" cy="1800225"/>
        </a:xfrm>
        <a:prstGeom prst="rightBrace">
          <a:avLst>
            <a:gd name="adj1" fmla="val 8333"/>
            <a:gd name="adj2" fmla="val 55417"/>
          </a:avLst>
        </a:prstGeom>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es-ES" sz="1100"/>
        </a:p>
      </xdr:txBody>
    </xdr:sp>
    <xdr:clientData/>
  </xdr:twoCellAnchor>
  <xdr:twoCellAnchor>
    <xdr:from>
      <xdr:col>2</xdr:col>
      <xdr:colOff>19049</xdr:colOff>
      <xdr:row>25</xdr:row>
      <xdr:rowOff>1</xdr:rowOff>
    </xdr:from>
    <xdr:to>
      <xdr:col>12</xdr:col>
      <xdr:colOff>2</xdr:colOff>
      <xdr:row>26</xdr:row>
      <xdr:rowOff>133351</xdr:rowOff>
    </xdr:to>
    <xdr:sp macro="" textlink="">
      <xdr:nvSpPr>
        <xdr:cNvPr id="3" name="Cerrar llave 2">
          <a:extLst>
            <a:ext uri="{FF2B5EF4-FFF2-40B4-BE49-F238E27FC236}">
              <a16:creationId xmlns:a16="http://schemas.microsoft.com/office/drawing/2014/main" id="{6ACBBB4A-1F13-43E9-9977-3F83CD22E4B2}"/>
            </a:ext>
          </a:extLst>
        </xdr:cNvPr>
        <xdr:cNvSpPr/>
      </xdr:nvSpPr>
      <xdr:spPr>
        <a:xfrm rot="5400000">
          <a:off x="6072188" y="719137"/>
          <a:ext cx="314325" cy="9067803"/>
        </a:xfrm>
        <a:prstGeom prst="rightBrace">
          <a:avLst>
            <a:gd name="adj1" fmla="val 8333"/>
            <a:gd name="adj2" fmla="val 53131"/>
          </a:avLst>
        </a:prstGeom>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es-ES" sz="1100"/>
        </a:p>
      </xdr:txBody>
    </xdr:sp>
    <xdr:clientData/>
  </xdr:twoCellAnchor>
</xdr:wsDr>
</file>

<file path=xl/persons/person.xml><?xml version="1.0" encoding="utf-8"?>
<personList xmlns="http://schemas.microsoft.com/office/spreadsheetml/2018/threadedcomments" xmlns:x="http://schemas.openxmlformats.org/spreadsheetml/2006/main">
  <person displayName="Pou Peña, Guillermo" id="{DB3B072B-77EB-4CBB-B34A-191E50B9A364}" userId="S::gpou@ofiteco.com::b6e8f51f-6c67-42f8-935b-adeb13ebe17f" providerId="AD"/>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C5" dT="2026-04-06T16:14:42.73" personId="{DB3B072B-77EB-4CBB-B34A-191E50B9A364}" id="{D1B866E1-3F43-47B9-9B90-1AD5D12EB8BD}">
    <text>El punto “P2” se lee 2 veces desde el mismo estacionamiento. Como está a la misma distancia de la estación total, cuenta con la misa precisión total en distancia.</text>
  </threadedComment>
  <threadedComment ref="C12" dT="2026-04-06T16:18:17.20" personId="{DB3B072B-77EB-4CBB-B34A-191E50B9A364}" id="{6088FF61-7088-4083-885B-3ED6B58DC16F}">
    <text>En la matriz de pesos “P”, el número de filas es igual al número de columnas. Este valor coincide con el número de visuales (ya corregidas por Bessel) multiplicado por 2. Se multiplica por 2 porque cada visual tiene peso en dirección y peso en distancia.</text>
  </threadedComment>
  <threadedComment ref="C12" dT="2026-04-06T16:40:11.74" personId="{DB3B072B-77EB-4CBB-B34A-191E50B9A364}" id="{F552EFE1-E5CE-4AA5-ACAC-920703768A9B}" parentId="{6088FF61-7088-4083-885B-3ED6B58DC16F}">
    <text>La matriz P es diagonal, no como la matriz A, que se construye de manera diferente.</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E4BC45-D4E4-4D57-83C2-37C777479C7F}">
  <dimension ref="A2:O28"/>
  <sheetViews>
    <sheetView tabSelected="1" zoomScaleNormal="100" workbookViewId="0">
      <selection activeCell="N13" sqref="N13"/>
    </sheetView>
  </sheetViews>
  <sheetFormatPr baseColWidth="10" defaultRowHeight="14.4" x14ac:dyDescent="0.3"/>
  <cols>
    <col min="1" max="1" width="12.44140625" customWidth="1"/>
    <col min="2" max="2" width="12" customWidth="1"/>
    <col min="3" max="12" width="8.77734375" customWidth="1"/>
    <col min="27" max="27" width="19.33203125" customWidth="1"/>
    <col min="31" max="31" width="19.88671875" customWidth="1"/>
  </cols>
  <sheetData>
    <row r="2" spans="1:15" s="1" customFormat="1" ht="57.6" x14ac:dyDescent="0.3">
      <c r="A2" s="15" t="s">
        <v>0</v>
      </c>
      <c r="B2" s="14" t="s">
        <v>8</v>
      </c>
      <c r="C2" s="14" t="s">
        <v>9</v>
      </c>
    </row>
    <row r="3" spans="1:15" x14ac:dyDescent="0.3">
      <c r="A3" s="2" t="s">
        <v>1</v>
      </c>
      <c r="B3" s="19">
        <v>3.4539248288085989</v>
      </c>
      <c r="C3" s="19">
        <v>8.8739099384158092E-4</v>
      </c>
    </row>
    <row r="4" spans="1:15" x14ac:dyDescent="0.3">
      <c r="A4" s="3" t="s">
        <v>2</v>
      </c>
      <c r="B4" s="19">
        <v>3.4539248288085989</v>
      </c>
      <c r="C4" s="19">
        <v>9.3326546870167357E-4</v>
      </c>
    </row>
    <row r="5" spans="1:15" x14ac:dyDescent="0.3">
      <c r="A5" s="3" t="s">
        <v>2</v>
      </c>
      <c r="B5" s="19">
        <v>3.4539248288085989</v>
      </c>
      <c r="C5" s="19">
        <v>9.3326546870167357E-4</v>
      </c>
    </row>
    <row r="6" spans="1:15" x14ac:dyDescent="0.3">
      <c r="A6" s="13" t="s">
        <v>3</v>
      </c>
      <c r="B6" s="19">
        <v>3.4539248288085989</v>
      </c>
      <c r="C6" s="19">
        <v>8.461278812943641E-4</v>
      </c>
    </row>
    <row r="7" spans="1:15" x14ac:dyDescent="0.3">
      <c r="A7" s="4" t="s">
        <v>4</v>
      </c>
      <c r="B7" s="19">
        <v>3.4539248288085989</v>
      </c>
      <c r="C7" s="19">
        <v>8.080871608433293E-4</v>
      </c>
    </row>
    <row r="9" spans="1:15" x14ac:dyDescent="0.3">
      <c r="O9" s="18"/>
    </row>
    <row r="11" spans="1:15" x14ac:dyDescent="0.3">
      <c r="O11" s="18"/>
    </row>
    <row r="12" spans="1:15" x14ac:dyDescent="0.3">
      <c r="O12" s="18"/>
    </row>
    <row r="14" spans="1:15" ht="15" thickBot="1" x14ac:dyDescent="0.35">
      <c r="A14" s="16" t="s">
        <v>0</v>
      </c>
      <c r="B14" s="17" t="s">
        <v>5</v>
      </c>
      <c r="C14" s="2" t="s">
        <v>1</v>
      </c>
      <c r="D14" s="3" t="s">
        <v>2</v>
      </c>
      <c r="E14" s="3" t="s">
        <v>2</v>
      </c>
      <c r="F14" s="13" t="s">
        <v>3</v>
      </c>
      <c r="G14" s="27" t="s">
        <v>4</v>
      </c>
      <c r="H14" s="22" t="s">
        <v>1</v>
      </c>
      <c r="I14" s="3" t="s">
        <v>2</v>
      </c>
      <c r="J14" s="3" t="s">
        <v>2</v>
      </c>
      <c r="K14" s="13" t="s">
        <v>3</v>
      </c>
      <c r="L14" s="27" t="s">
        <v>4</v>
      </c>
    </row>
    <row r="15" spans="1:15" x14ac:dyDescent="0.3">
      <c r="A15" s="2" t="s">
        <v>1</v>
      </c>
      <c r="B15" t="s">
        <v>6</v>
      </c>
      <c r="C15" s="28">
        <f>1/B3^2</f>
        <v>8.3825130322045985E-2</v>
      </c>
      <c r="D15" s="6">
        <v>0</v>
      </c>
      <c r="E15" s="6">
        <v>0</v>
      </c>
      <c r="F15" s="6">
        <v>0</v>
      </c>
      <c r="G15" s="6">
        <v>0</v>
      </c>
      <c r="H15" s="23">
        <v>0</v>
      </c>
      <c r="I15" s="6">
        <v>0</v>
      </c>
      <c r="J15" s="6">
        <v>0</v>
      </c>
      <c r="K15" s="6">
        <v>0</v>
      </c>
      <c r="L15" s="7">
        <v>0</v>
      </c>
    </row>
    <row r="16" spans="1:15" x14ac:dyDescent="0.3">
      <c r="A16" s="3" t="s">
        <v>2</v>
      </c>
      <c r="B16" t="s">
        <v>6</v>
      </c>
      <c r="C16" s="8">
        <v>0</v>
      </c>
      <c r="D16" s="29">
        <f>1/B4^2</f>
        <v>8.3825130322045985E-2</v>
      </c>
      <c r="E16" s="20">
        <v>0</v>
      </c>
      <c r="F16" s="20">
        <v>0</v>
      </c>
      <c r="G16" s="20">
        <v>0</v>
      </c>
      <c r="H16" s="24">
        <v>0</v>
      </c>
      <c r="I16" s="20">
        <v>0</v>
      </c>
      <c r="J16" s="20">
        <v>0</v>
      </c>
      <c r="K16" s="20">
        <v>0</v>
      </c>
      <c r="L16" s="9">
        <v>0</v>
      </c>
    </row>
    <row r="17" spans="1:14" x14ac:dyDescent="0.3">
      <c r="A17" s="3" t="s">
        <v>2</v>
      </c>
      <c r="B17" t="s">
        <v>6</v>
      </c>
      <c r="C17" s="8">
        <v>0</v>
      </c>
      <c r="D17" s="20">
        <v>0</v>
      </c>
      <c r="E17" s="29">
        <f>1/B5^2</f>
        <v>8.3825130322045985E-2</v>
      </c>
      <c r="F17" s="20">
        <v>0</v>
      </c>
      <c r="G17" s="20">
        <v>0</v>
      </c>
      <c r="H17" s="24">
        <v>0</v>
      </c>
      <c r="I17" s="20">
        <v>0</v>
      </c>
      <c r="J17" s="20">
        <v>0</v>
      </c>
      <c r="K17" s="20">
        <v>0</v>
      </c>
      <c r="L17" s="9">
        <v>0</v>
      </c>
    </row>
    <row r="18" spans="1:14" x14ac:dyDescent="0.3">
      <c r="A18" s="13" t="s">
        <v>3</v>
      </c>
      <c r="B18" t="s">
        <v>6</v>
      </c>
      <c r="C18" s="8">
        <v>0</v>
      </c>
      <c r="D18" s="20">
        <v>0</v>
      </c>
      <c r="E18" s="20">
        <v>0</v>
      </c>
      <c r="F18" s="30">
        <f>1/B6^2</f>
        <v>8.3825130322045985E-2</v>
      </c>
      <c r="G18" s="20">
        <v>0</v>
      </c>
      <c r="H18" s="24">
        <v>0</v>
      </c>
      <c r="I18" s="20">
        <v>0</v>
      </c>
      <c r="J18" s="20">
        <v>0</v>
      </c>
      <c r="K18" s="20">
        <v>0</v>
      </c>
      <c r="L18" s="9">
        <v>0</v>
      </c>
    </row>
    <row r="19" spans="1:14" x14ac:dyDescent="0.3">
      <c r="A19" s="4" t="s">
        <v>4</v>
      </c>
      <c r="B19" s="5" t="s">
        <v>6</v>
      </c>
      <c r="C19" s="10">
        <v>0</v>
      </c>
      <c r="D19" s="5">
        <v>0</v>
      </c>
      <c r="E19" s="5">
        <v>0</v>
      </c>
      <c r="F19" s="5">
        <v>0</v>
      </c>
      <c r="G19" s="4">
        <f>1/B7^2</f>
        <v>8.3825130322045985E-2</v>
      </c>
      <c r="H19" s="25">
        <v>0</v>
      </c>
      <c r="I19" s="5">
        <v>0</v>
      </c>
      <c r="J19" s="5">
        <v>0</v>
      </c>
      <c r="K19" s="5">
        <v>0</v>
      </c>
      <c r="L19" s="21">
        <v>0</v>
      </c>
    </row>
    <row r="20" spans="1:14" x14ac:dyDescent="0.3">
      <c r="A20" s="2" t="s">
        <v>1</v>
      </c>
      <c r="B20" t="s">
        <v>7</v>
      </c>
      <c r="C20" s="8">
        <v>0</v>
      </c>
      <c r="D20" s="20">
        <v>0</v>
      </c>
      <c r="E20" s="20">
        <v>0</v>
      </c>
      <c r="F20" s="20">
        <v>0</v>
      </c>
      <c r="G20" s="20">
        <v>0</v>
      </c>
      <c r="H20" s="22">
        <f>1/C3^2</f>
        <v>1269901.2963401794</v>
      </c>
      <c r="I20" s="20">
        <v>0</v>
      </c>
      <c r="J20" s="20">
        <v>0</v>
      </c>
      <c r="K20" s="20">
        <v>0</v>
      </c>
      <c r="L20" s="9">
        <v>0</v>
      </c>
      <c r="N20" t="s">
        <v>10</v>
      </c>
    </row>
    <row r="21" spans="1:14" x14ac:dyDescent="0.3">
      <c r="A21" s="3" t="s">
        <v>2</v>
      </c>
      <c r="B21" t="s">
        <v>7</v>
      </c>
      <c r="C21" s="8">
        <v>0</v>
      </c>
      <c r="D21" s="20">
        <v>0</v>
      </c>
      <c r="E21" s="20">
        <v>0</v>
      </c>
      <c r="F21" s="20">
        <v>0</v>
      </c>
      <c r="G21" s="20">
        <v>0</v>
      </c>
      <c r="H21" s="24">
        <v>0</v>
      </c>
      <c r="I21" s="29">
        <f>1/C4^2</f>
        <v>1148126.1429413895</v>
      </c>
      <c r="J21" s="20">
        <v>0</v>
      </c>
      <c r="K21" s="20">
        <v>0</v>
      </c>
      <c r="L21" s="9">
        <v>0</v>
      </c>
    </row>
    <row r="22" spans="1:14" x14ac:dyDescent="0.3">
      <c r="A22" s="3" t="s">
        <v>2</v>
      </c>
      <c r="B22" t="s">
        <v>7</v>
      </c>
      <c r="C22" s="8">
        <v>0</v>
      </c>
      <c r="D22" s="20">
        <v>0</v>
      </c>
      <c r="E22" s="20">
        <v>0</v>
      </c>
      <c r="F22" s="20">
        <v>0</v>
      </c>
      <c r="G22" s="20">
        <v>0</v>
      </c>
      <c r="H22" s="24">
        <v>0</v>
      </c>
      <c r="I22" s="20">
        <v>0</v>
      </c>
      <c r="J22" s="29">
        <f>1/C5^2</f>
        <v>1148126.1429413895</v>
      </c>
      <c r="K22" s="20">
        <v>0</v>
      </c>
      <c r="L22" s="9">
        <v>0</v>
      </c>
    </row>
    <row r="23" spans="1:14" x14ac:dyDescent="0.3">
      <c r="A23" s="13" t="s">
        <v>3</v>
      </c>
      <c r="B23" t="s">
        <v>7</v>
      </c>
      <c r="C23" s="8">
        <v>0</v>
      </c>
      <c r="D23" s="20">
        <v>0</v>
      </c>
      <c r="E23" s="20">
        <v>0</v>
      </c>
      <c r="F23" s="20">
        <v>0</v>
      </c>
      <c r="G23" s="20">
        <v>0</v>
      </c>
      <c r="H23" s="24">
        <v>0</v>
      </c>
      <c r="I23" s="20">
        <v>0</v>
      </c>
      <c r="J23" s="20">
        <v>0</v>
      </c>
      <c r="K23" s="30">
        <f>1/C6^2</f>
        <v>1396779.9360211608</v>
      </c>
      <c r="L23" s="9">
        <v>0</v>
      </c>
    </row>
    <row r="24" spans="1:14" ht="15" thickBot="1" x14ac:dyDescent="0.35">
      <c r="A24" s="4" t="s">
        <v>4</v>
      </c>
      <c r="B24" t="s">
        <v>7</v>
      </c>
      <c r="C24" s="11">
        <v>0</v>
      </c>
      <c r="D24" s="12">
        <v>0</v>
      </c>
      <c r="E24" s="12">
        <v>0</v>
      </c>
      <c r="F24" s="12">
        <v>0</v>
      </c>
      <c r="G24" s="12">
        <v>0</v>
      </c>
      <c r="H24" s="26">
        <v>0</v>
      </c>
      <c r="I24" s="12">
        <v>0</v>
      </c>
      <c r="J24" s="12">
        <v>0</v>
      </c>
      <c r="K24" s="12">
        <v>0</v>
      </c>
      <c r="L24" s="31">
        <f>1/C7^2</f>
        <v>1531382.1718498687</v>
      </c>
    </row>
    <row r="28" spans="1:14" x14ac:dyDescent="0.3">
      <c r="F28" t="s">
        <v>10</v>
      </c>
    </row>
  </sheetData>
  <phoneticPr fontId="1" type="noConversion"/>
  <pageMargins left="0.7" right="0.7" top="0.75" bottom="0.75" header="0.3" footer="0.3"/>
  <pageSetup paperSize="9" orientation="portrait" r:id="rId1"/>
  <drawing r:id="rId2"/>
  <legacyDrawing r:id="rId3"/>
</worksheet>
</file>

<file path=docMetadata/LabelInfo.xml><?xml version="1.0" encoding="utf-8"?>
<clbl:labelList xmlns:clbl="http://schemas.microsoft.com/office/2020/mipLabelMetadata">
  <clbl:label id="{35fc9766-ae04-4cb0-889f-359d312f8c35}" enabled="0" method="" siteId="{35fc9766-ae04-4cb0-889f-359d312f8c35}"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Cálculo matriz_P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Rodríguez Bravo, Adrián</dc:creator>
  <cp:lastModifiedBy>Pou Peña, Guillermo</cp:lastModifiedBy>
  <dcterms:created xsi:type="dcterms:W3CDTF">2025-11-25T10:53:52Z</dcterms:created>
  <dcterms:modified xsi:type="dcterms:W3CDTF">2026-04-06T16:40:45Z</dcterms:modified>
</cp:coreProperties>
</file>